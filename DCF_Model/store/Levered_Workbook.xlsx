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Q_Models\DCF_Model\"/>
    </mc:Choice>
  </mc:AlternateContent>
  <xr:revisionPtr revIDLastSave="0" documentId="13_ncr:9_{E3BA9FBB-82AC-4AFF-9C2D-F902D2AFD11B}" xr6:coauthVersionLast="47" xr6:coauthVersionMax="47" xr10:uidLastSave="{00000000-0000-0000-0000-000000000000}"/>
  <bookViews>
    <workbookView xWindow="-110" yWindow="-110" windowWidth="19420" windowHeight="12220" xr2:uid="{8F74BDF3-5A0A-4D0F-AE45-E43260CF28B7}"/>
  </bookViews>
  <sheets>
    <sheet name="factor_scores" sheetId="1" r:id="rId1"/>
  </sheets>
  <calcPr calcId="0"/>
</workbook>
</file>

<file path=xl/calcChain.xml><?xml version="1.0" encoding="utf-8"?>
<calcChain xmlns="http://schemas.openxmlformats.org/spreadsheetml/2006/main">
  <c r="F566" i="1" l="1"/>
  <c r="F567" i="1"/>
  <c r="F568" i="1"/>
  <c r="F572" i="1"/>
  <c r="F573" i="1"/>
  <c r="M13" i="1"/>
  <c r="N13" i="1"/>
  <c r="O13" i="1"/>
  <c r="M44" i="1"/>
  <c r="N44" i="1"/>
  <c r="O44" i="1"/>
  <c r="M141" i="1"/>
  <c r="N141" i="1"/>
  <c r="O141" i="1"/>
  <c r="M14" i="1"/>
  <c r="N14" i="1"/>
  <c r="O14" i="1"/>
  <c r="M29" i="1"/>
  <c r="N29" i="1"/>
  <c r="O29" i="1"/>
  <c r="M10" i="1"/>
  <c r="N10" i="1"/>
  <c r="O10" i="1"/>
  <c r="M3" i="1"/>
  <c r="N3" i="1"/>
  <c r="O3" i="1"/>
  <c r="M2" i="1"/>
  <c r="N2" i="1"/>
  <c r="O2" i="1"/>
  <c r="M529" i="1"/>
  <c r="N529" i="1"/>
  <c r="O529" i="1"/>
  <c r="M6" i="1"/>
  <c r="N6" i="1"/>
  <c r="O6" i="1"/>
  <c r="M232" i="1"/>
  <c r="N232" i="1"/>
  <c r="O232" i="1"/>
  <c r="M48" i="1"/>
  <c r="N48" i="1"/>
  <c r="O48" i="1"/>
  <c r="M449" i="1"/>
  <c r="N449" i="1"/>
  <c r="O449" i="1"/>
  <c r="M471" i="1"/>
  <c r="N471" i="1"/>
  <c r="O471" i="1"/>
  <c r="M129" i="1"/>
  <c r="N129" i="1"/>
  <c r="O129" i="1"/>
  <c r="M5" i="1"/>
  <c r="N5" i="1"/>
  <c r="O5" i="1"/>
  <c r="M307" i="1"/>
  <c r="N307" i="1"/>
  <c r="O307" i="1"/>
  <c r="M9" i="1"/>
  <c r="N9" i="1"/>
  <c r="O9" i="1"/>
  <c r="M4" i="1"/>
  <c r="N4" i="1"/>
  <c r="O4" i="1"/>
  <c r="M348" i="1"/>
  <c r="N348" i="1"/>
  <c r="O348" i="1"/>
  <c r="M21" i="1"/>
  <c r="N21" i="1"/>
  <c r="O21" i="1"/>
  <c r="M11" i="1"/>
  <c r="N11" i="1"/>
  <c r="O11" i="1"/>
  <c r="M466" i="1"/>
  <c r="N466" i="1"/>
  <c r="O466" i="1"/>
  <c r="M557" i="1"/>
  <c r="N557" i="1"/>
  <c r="O557" i="1"/>
  <c r="M22" i="1"/>
  <c r="N22" i="1"/>
  <c r="O22" i="1"/>
  <c r="M7" i="1"/>
  <c r="N7" i="1"/>
  <c r="O7" i="1"/>
  <c r="M545" i="1"/>
  <c r="N545" i="1"/>
  <c r="O545" i="1"/>
  <c r="M544" i="1"/>
  <c r="N544" i="1"/>
  <c r="O544" i="1"/>
  <c r="M56" i="1"/>
  <c r="N56" i="1"/>
  <c r="O56" i="1"/>
  <c r="M197" i="1"/>
  <c r="N197" i="1"/>
  <c r="O197" i="1"/>
  <c r="M207" i="1"/>
  <c r="N207" i="1"/>
  <c r="O207" i="1"/>
  <c r="M74" i="1"/>
  <c r="N74" i="1"/>
  <c r="O74" i="1"/>
  <c r="M53" i="1"/>
  <c r="N53" i="1"/>
  <c r="O53" i="1"/>
  <c r="M290" i="1"/>
  <c r="N290" i="1"/>
  <c r="O290" i="1"/>
  <c r="M112" i="1"/>
  <c r="N112" i="1"/>
  <c r="O112" i="1"/>
  <c r="M278" i="1"/>
  <c r="N278" i="1"/>
  <c r="O278" i="1"/>
  <c r="M274" i="1"/>
  <c r="N274" i="1"/>
  <c r="O274" i="1"/>
  <c r="M297" i="1"/>
  <c r="N297" i="1"/>
  <c r="O297" i="1"/>
  <c r="M315" i="1"/>
  <c r="N315" i="1"/>
  <c r="O315" i="1"/>
  <c r="M55" i="1"/>
  <c r="N55" i="1"/>
  <c r="O55" i="1"/>
  <c r="M121" i="1"/>
  <c r="N121" i="1"/>
  <c r="O121" i="1"/>
  <c r="M66" i="1"/>
  <c r="N66" i="1"/>
  <c r="O66" i="1"/>
  <c r="M228" i="1"/>
  <c r="N228" i="1"/>
  <c r="O228" i="1"/>
  <c r="M205" i="1"/>
  <c r="N205" i="1"/>
  <c r="O205" i="1"/>
  <c r="M300" i="1"/>
  <c r="N300" i="1"/>
  <c r="O300" i="1"/>
  <c r="M324" i="1"/>
  <c r="N324" i="1"/>
  <c r="O324" i="1"/>
  <c r="M114" i="1"/>
  <c r="N114" i="1"/>
  <c r="O114" i="1"/>
  <c r="M472" i="1"/>
  <c r="N472" i="1"/>
  <c r="O472" i="1"/>
  <c r="M176" i="1"/>
  <c r="N176" i="1"/>
  <c r="O176" i="1"/>
  <c r="M179" i="1"/>
  <c r="N179" i="1"/>
  <c r="O179" i="1"/>
  <c r="M507" i="1"/>
  <c r="N507" i="1"/>
  <c r="O507" i="1"/>
  <c r="M269" i="1"/>
  <c r="N269" i="1"/>
  <c r="O269" i="1"/>
  <c r="M231" i="1"/>
  <c r="N231" i="1"/>
  <c r="O231" i="1"/>
  <c r="M372" i="1"/>
  <c r="N372" i="1"/>
  <c r="O372" i="1"/>
  <c r="M173" i="1"/>
  <c r="N173" i="1"/>
  <c r="O173" i="1"/>
  <c r="M230" i="1"/>
  <c r="N230" i="1"/>
  <c r="O230" i="1"/>
  <c r="M379" i="1"/>
  <c r="N379" i="1"/>
  <c r="O379" i="1"/>
  <c r="M411" i="1"/>
  <c r="N411" i="1"/>
  <c r="O411" i="1"/>
  <c r="M270" i="1"/>
  <c r="N270" i="1"/>
  <c r="O270" i="1"/>
  <c r="M308" i="1"/>
  <c r="N308" i="1"/>
  <c r="O308" i="1"/>
  <c r="M291" i="1"/>
  <c r="N291" i="1"/>
  <c r="O291" i="1"/>
  <c r="M460" i="1"/>
  <c r="N460" i="1"/>
  <c r="O460" i="1"/>
  <c r="M317" i="1"/>
  <c r="N317" i="1"/>
  <c r="O317" i="1"/>
  <c r="M428" i="1"/>
  <c r="N428" i="1"/>
  <c r="O428" i="1"/>
  <c r="M491" i="1"/>
  <c r="N491" i="1"/>
  <c r="O491" i="1"/>
  <c r="M313" i="1"/>
  <c r="N313" i="1"/>
  <c r="O313" i="1"/>
  <c r="M332" i="1"/>
  <c r="N332" i="1"/>
  <c r="O332" i="1"/>
  <c r="M295" i="1"/>
  <c r="N295" i="1"/>
  <c r="O295" i="1"/>
  <c r="M376" i="1"/>
  <c r="N376" i="1"/>
  <c r="O376" i="1"/>
  <c r="M99" i="1"/>
  <c r="N99" i="1"/>
  <c r="O99" i="1"/>
  <c r="M301" i="1"/>
  <c r="N301" i="1"/>
  <c r="O301" i="1"/>
  <c r="M407" i="1"/>
  <c r="N407" i="1"/>
  <c r="O407" i="1"/>
  <c r="M328" i="1"/>
  <c r="N328" i="1"/>
  <c r="O328" i="1"/>
  <c r="M354" i="1"/>
  <c r="N354" i="1"/>
  <c r="O354" i="1"/>
  <c r="M341" i="1"/>
  <c r="N341" i="1"/>
  <c r="O341" i="1"/>
  <c r="M419" i="1"/>
  <c r="N419" i="1"/>
  <c r="O419" i="1"/>
  <c r="M225" i="1"/>
  <c r="N225" i="1"/>
  <c r="O225" i="1"/>
  <c r="M253" i="1"/>
  <c r="N253" i="1"/>
  <c r="O253" i="1"/>
  <c r="M415" i="1"/>
  <c r="N415" i="1"/>
  <c r="O415" i="1"/>
  <c r="M148" i="1"/>
  <c r="N148" i="1"/>
  <c r="O148" i="1"/>
  <c r="M410" i="1"/>
  <c r="N410" i="1"/>
  <c r="O410" i="1"/>
  <c r="M110" i="1"/>
  <c r="N110" i="1"/>
  <c r="O110" i="1"/>
  <c r="M412" i="1"/>
  <c r="N412" i="1"/>
  <c r="O412" i="1"/>
  <c r="M506" i="1"/>
  <c r="N506" i="1"/>
  <c r="O506" i="1"/>
  <c r="M224" i="1"/>
  <c r="N224" i="1"/>
  <c r="O224" i="1"/>
  <c r="M451" i="1"/>
  <c r="N451" i="1"/>
  <c r="O451" i="1"/>
  <c r="M325" i="1"/>
  <c r="N325" i="1"/>
  <c r="O325" i="1"/>
  <c r="M195" i="1"/>
  <c r="N195" i="1"/>
  <c r="O195" i="1"/>
  <c r="M242" i="1"/>
  <c r="N242" i="1"/>
  <c r="O242" i="1"/>
  <c r="M384" i="1"/>
  <c r="N384" i="1"/>
  <c r="O384" i="1"/>
  <c r="M137" i="1"/>
  <c r="N137" i="1"/>
  <c r="O137" i="1"/>
  <c r="M209" i="1"/>
  <c r="N209" i="1"/>
  <c r="O209" i="1"/>
  <c r="M490" i="1"/>
  <c r="N490" i="1"/>
  <c r="O490" i="1"/>
  <c r="M266" i="1"/>
  <c r="N266" i="1"/>
  <c r="O266" i="1"/>
  <c r="M160" i="1"/>
  <c r="N160" i="1"/>
  <c r="O160" i="1"/>
  <c r="M226" i="1"/>
  <c r="N226" i="1"/>
  <c r="O226" i="1"/>
  <c r="M340" i="1"/>
  <c r="N340" i="1"/>
  <c r="O340" i="1"/>
  <c r="M47" i="1"/>
  <c r="N47" i="1"/>
  <c r="O47" i="1"/>
  <c r="M418" i="1"/>
  <c r="N418" i="1"/>
  <c r="O418" i="1"/>
  <c r="M33" i="1"/>
  <c r="N33" i="1"/>
  <c r="O33" i="1"/>
  <c r="M211" i="1"/>
  <c r="N211" i="1"/>
  <c r="O211" i="1"/>
  <c r="M521" i="1"/>
  <c r="N521" i="1"/>
  <c r="O521" i="1"/>
  <c r="M364" i="1"/>
  <c r="N364" i="1"/>
  <c r="O364" i="1"/>
  <c r="M126" i="1"/>
  <c r="N126" i="1"/>
  <c r="O126" i="1"/>
  <c r="M385" i="1"/>
  <c r="N385" i="1"/>
  <c r="O385" i="1"/>
  <c r="M139" i="1"/>
  <c r="N139" i="1"/>
  <c r="O139" i="1"/>
  <c r="M171" i="1"/>
  <c r="N171" i="1"/>
  <c r="O171" i="1"/>
  <c r="M135" i="1"/>
  <c r="N135" i="1"/>
  <c r="O135" i="1"/>
  <c r="M170" i="1"/>
  <c r="N170" i="1"/>
  <c r="O170" i="1"/>
  <c r="M92" i="1"/>
  <c r="N92" i="1"/>
  <c r="O92" i="1"/>
  <c r="M95" i="1"/>
  <c r="N95" i="1"/>
  <c r="O95" i="1"/>
  <c r="M509" i="1"/>
  <c r="N509" i="1"/>
  <c r="O509" i="1"/>
  <c r="M136" i="1"/>
  <c r="N136" i="1"/>
  <c r="O136" i="1"/>
  <c r="M31" i="1"/>
  <c r="N31" i="1"/>
  <c r="O31" i="1"/>
  <c r="M322" i="1"/>
  <c r="N322" i="1"/>
  <c r="O322" i="1"/>
  <c r="M213" i="1"/>
  <c r="N213" i="1"/>
  <c r="O213" i="1"/>
  <c r="M475" i="1"/>
  <c r="N475" i="1"/>
  <c r="O475" i="1"/>
  <c r="M558" i="1"/>
  <c r="N558" i="1"/>
  <c r="O558" i="1"/>
  <c r="M45" i="1"/>
  <c r="N45" i="1"/>
  <c r="O45" i="1"/>
  <c r="M432" i="1"/>
  <c r="N432" i="1"/>
  <c r="O432" i="1"/>
  <c r="M549" i="1"/>
  <c r="N549" i="1"/>
  <c r="O549" i="1"/>
  <c r="M525" i="1"/>
  <c r="N525" i="1"/>
  <c r="O525" i="1"/>
  <c r="M474" i="1"/>
  <c r="N474" i="1"/>
  <c r="O474" i="1"/>
  <c r="M97" i="1"/>
  <c r="N97" i="1"/>
  <c r="O97" i="1"/>
  <c r="M250" i="1"/>
  <c r="N250" i="1"/>
  <c r="O250" i="1"/>
  <c r="M19" i="1"/>
  <c r="N19" i="1"/>
  <c r="O19" i="1"/>
  <c r="M163" i="1"/>
  <c r="N163" i="1"/>
  <c r="O163" i="1"/>
  <c r="M514" i="1"/>
  <c r="N514" i="1"/>
  <c r="O514" i="1"/>
  <c r="M240" i="1"/>
  <c r="N240" i="1"/>
  <c r="O240" i="1"/>
  <c r="M69" i="1"/>
  <c r="N69" i="1"/>
  <c r="O69" i="1"/>
  <c r="M539" i="1"/>
  <c r="N539" i="1"/>
  <c r="O539" i="1"/>
  <c r="M108" i="1"/>
  <c r="N108" i="1"/>
  <c r="O108" i="1"/>
  <c r="M331" i="1"/>
  <c r="N331" i="1"/>
  <c r="O331" i="1"/>
  <c r="M318" i="1"/>
  <c r="N318" i="1"/>
  <c r="O318" i="1"/>
  <c r="M357" i="1"/>
  <c r="N357" i="1"/>
  <c r="O357" i="1"/>
  <c r="M200" i="1"/>
  <c r="N200" i="1"/>
  <c r="O200" i="1"/>
  <c r="M288" i="1"/>
  <c r="N288" i="1"/>
  <c r="O288" i="1"/>
  <c r="M150" i="1"/>
  <c r="N150" i="1"/>
  <c r="O150" i="1"/>
  <c r="M311" i="1"/>
  <c r="N311" i="1"/>
  <c r="O311" i="1"/>
  <c r="M60" i="1"/>
  <c r="N60" i="1"/>
  <c r="O60" i="1"/>
  <c r="M123" i="1"/>
  <c r="N123" i="1"/>
  <c r="O123" i="1"/>
  <c r="M152" i="1"/>
  <c r="N152" i="1"/>
  <c r="O152" i="1"/>
  <c r="M202" i="1"/>
  <c r="N202" i="1"/>
  <c r="O202" i="1"/>
  <c r="M25" i="1"/>
  <c r="N25" i="1"/>
  <c r="O25" i="1"/>
  <c r="M534" i="1"/>
  <c r="N534" i="1"/>
  <c r="O534" i="1"/>
  <c r="M541" i="1"/>
  <c r="N541" i="1"/>
  <c r="O541" i="1"/>
  <c r="M538" i="1"/>
  <c r="N538" i="1"/>
  <c r="O538" i="1"/>
  <c r="M408" i="1"/>
  <c r="N408" i="1"/>
  <c r="O408" i="1"/>
  <c r="M543" i="1"/>
  <c r="N543" i="1"/>
  <c r="O543" i="1"/>
  <c r="M531" i="1"/>
  <c r="N531" i="1"/>
  <c r="O531" i="1"/>
  <c r="M216" i="1"/>
  <c r="N216" i="1"/>
  <c r="O216" i="1"/>
  <c r="M196" i="1"/>
  <c r="N196" i="1"/>
  <c r="O196" i="1"/>
  <c r="M161" i="1"/>
  <c r="N161" i="1"/>
  <c r="O161" i="1"/>
  <c r="M143" i="1"/>
  <c r="N143" i="1"/>
  <c r="O143" i="1"/>
  <c r="M87" i="1"/>
  <c r="N87" i="1"/>
  <c r="O87" i="1"/>
  <c r="M190" i="1"/>
  <c r="N190" i="1"/>
  <c r="O190" i="1"/>
  <c r="M80" i="1"/>
  <c r="N80" i="1"/>
  <c r="O80" i="1"/>
  <c r="M508" i="1"/>
  <c r="N508" i="1"/>
  <c r="O508" i="1"/>
  <c r="M464" i="1"/>
  <c r="N464" i="1"/>
  <c r="O464" i="1"/>
  <c r="M175" i="1"/>
  <c r="N175" i="1"/>
  <c r="O175" i="1"/>
  <c r="M134" i="1"/>
  <c r="N134" i="1"/>
  <c r="O134" i="1"/>
  <c r="M192" i="1"/>
  <c r="N192" i="1"/>
  <c r="O192" i="1"/>
  <c r="M431" i="1"/>
  <c r="N431" i="1"/>
  <c r="O431" i="1"/>
  <c r="M157" i="1"/>
  <c r="N157" i="1"/>
  <c r="O157" i="1"/>
  <c r="M167" i="1"/>
  <c r="N167" i="1"/>
  <c r="O167" i="1"/>
  <c r="M326" i="1"/>
  <c r="N326" i="1"/>
  <c r="O326" i="1"/>
  <c r="M17" i="1"/>
  <c r="N17" i="1"/>
  <c r="O17" i="1"/>
  <c r="M532" i="1"/>
  <c r="N532" i="1"/>
  <c r="O532" i="1"/>
  <c r="M146" i="1"/>
  <c r="N146" i="1"/>
  <c r="O146" i="1"/>
  <c r="M316" i="1"/>
  <c r="N316" i="1"/>
  <c r="O316" i="1"/>
  <c r="M187" i="1"/>
  <c r="N187" i="1"/>
  <c r="O187" i="1"/>
  <c r="M194" i="1"/>
  <c r="N194" i="1"/>
  <c r="O194" i="1"/>
  <c r="M78" i="1"/>
  <c r="N78" i="1"/>
  <c r="O78" i="1"/>
  <c r="M183" i="1"/>
  <c r="N183" i="1"/>
  <c r="O183" i="1"/>
  <c r="M394" i="1"/>
  <c r="N394" i="1"/>
  <c r="O394" i="1"/>
  <c r="M435" i="1"/>
  <c r="N435" i="1"/>
  <c r="O435" i="1"/>
  <c r="M38" i="1"/>
  <c r="N38" i="1"/>
  <c r="O38" i="1"/>
  <c r="M353" i="1"/>
  <c r="N353" i="1"/>
  <c r="O353" i="1"/>
  <c r="M254" i="1"/>
  <c r="N254" i="1"/>
  <c r="O254" i="1"/>
  <c r="M51" i="1"/>
  <c r="N51" i="1"/>
  <c r="O51" i="1"/>
  <c r="M198" i="1"/>
  <c r="N198" i="1"/>
  <c r="O198" i="1"/>
  <c r="M41" i="1"/>
  <c r="N41" i="1"/>
  <c r="O41" i="1"/>
  <c r="M49" i="1"/>
  <c r="N49" i="1"/>
  <c r="O49" i="1"/>
  <c r="M62" i="1"/>
  <c r="N62" i="1"/>
  <c r="O62" i="1"/>
  <c r="M180" i="1"/>
  <c r="N180" i="1"/>
  <c r="O180" i="1"/>
  <c r="M106" i="1"/>
  <c r="N106" i="1"/>
  <c r="O106" i="1"/>
  <c r="M314" i="1"/>
  <c r="N314" i="1"/>
  <c r="O314" i="1"/>
  <c r="M172" i="1"/>
  <c r="N172" i="1"/>
  <c r="O172" i="1"/>
  <c r="M358" i="1"/>
  <c r="N358" i="1"/>
  <c r="O358" i="1"/>
  <c r="M486" i="1"/>
  <c r="N486" i="1"/>
  <c r="O486" i="1"/>
  <c r="M188" i="1"/>
  <c r="N188" i="1"/>
  <c r="O188" i="1"/>
  <c r="M165" i="1"/>
  <c r="N165" i="1"/>
  <c r="O165" i="1"/>
  <c r="M536" i="1"/>
  <c r="N536" i="1"/>
  <c r="O536" i="1"/>
  <c r="M420" i="1"/>
  <c r="N420" i="1"/>
  <c r="O420" i="1"/>
  <c r="M184" i="1"/>
  <c r="N184" i="1"/>
  <c r="O184" i="1"/>
  <c r="M371" i="1"/>
  <c r="N371" i="1"/>
  <c r="O371" i="1"/>
  <c r="M362" i="1"/>
  <c r="N362" i="1"/>
  <c r="O362" i="1"/>
  <c r="M542" i="1"/>
  <c r="N542" i="1"/>
  <c r="O542" i="1"/>
  <c r="M425" i="1"/>
  <c r="N425" i="1"/>
  <c r="O425" i="1"/>
  <c r="M219" i="1"/>
  <c r="N219" i="1"/>
  <c r="O219" i="1"/>
  <c r="M399" i="1"/>
  <c r="N399" i="1"/>
  <c r="O399" i="1"/>
  <c r="M497" i="1"/>
  <c r="N497" i="1"/>
  <c r="O497" i="1"/>
  <c r="M489" i="1"/>
  <c r="N489" i="1"/>
  <c r="O489" i="1"/>
  <c r="M481" i="1"/>
  <c r="N481" i="1"/>
  <c r="O481" i="1"/>
  <c r="M434" i="1"/>
  <c r="N434" i="1"/>
  <c r="O434" i="1"/>
  <c r="M455" i="1"/>
  <c r="N455" i="1"/>
  <c r="O455" i="1"/>
  <c r="M281" i="1"/>
  <c r="N281" i="1"/>
  <c r="O281" i="1"/>
  <c r="M105" i="1"/>
  <c r="N105" i="1"/>
  <c r="O105" i="1"/>
  <c r="M93" i="1"/>
  <c r="N93" i="1"/>
  <c r="O93" i="1"/>
  <c r="M214" i="1"/>
  <c r="N214" i="1"/>
  <c r="O214" i="1"/>
  <c r="M109" i="1"/>
  <c r="N109" i="1"/>
  <c r="O109" i="1"/>
  <c r="M65" i="1"/>
  <c r="N65" i="1"/>
  <c r="O65" i="1"/>
  <c r="M502" i="1"/>
  <c r="N502" i="1"/>
  <c r="O502" i="1"/>
  <c r="M498" i="1"/>
  <c r="N498" i="1"/>
  <c r="O498" i="1"/>
  <c r="M186" i="1"/>
  <c r="N186" i="1"/>
  <c r="O186" i="1"/>
  <c r="M203" i="1"/>
  <c r="N203" i="1"/>
  <c r="O203" i="1"/>
  <c r="M327" i="1"/>
  <c r="N327" i="1"/>
  <c r="O327" i="1"/>
  <c r="M130" i="1"/>
  <c r="N130" i="1"/>
  <c r="O130" i="1"/>
  <c r="M227" i="1"/>
  <c r="N227" i="1"/>
  <c r="O227" i="1"/>
  <c r="M456" i="1"/>
  <c r="N456" i="1"/>
  <c r="O456" i="1"/>
  <c r="M138" i="1"/>
  <c r="N138" i="1"/>
  <c r="O138" i="1"/>
  <c r="M15" i="1"/>
  <c r="N15" i="1"/>
  <c r="O15" i="1"/>
  <c r="M234" i="1"/>
  <c r="N234" i="1"/>
  <c r="O234" i="1"/>
  <c r="M452" i="1"/>
  <c r="N452" i="1"/>
  <c r="O452" i="1"/>
  <c r="M450" i="1"/>
  <c r="N450" i="1"/>
  <c r="O450" i="1"/>
  <c r="M388" i="1"/>
  <c r="N388" i="1"/>
  <c r="O388" i="1"/>
  <c r="M267" i="1"/>
  <c r="N267" i="1"/>
  <c r="O267" i="1"/>
  <c r="M262" i="1"/>
  <c r="N262" i="1"/>
  <c r="O262" i="1"/>
  <c r="M360" i="1"/>
  <c r="N360" i="1"/>
  <c r="O360" i="1"/>
  <c r="M350" i="1"/>
  <c r="N350" i="1"/>
  <c r="O350" i="1"/>
  <c r="M264" i="1"/>
  <c r="N264" i="1"/>
  <c r="O264" i="1"/>
  <c r="M268" i="1"/>
  <c r="N268" i="1"/>
  <c r="O268" i="1"/>
  <c r="M335" i="1"/>
  <c r="N335" i="1"/>
  <c r="O335" i="1"/>
  <c r="M310" i="1"/>
  <c r="N310" i="1"/>
  <c r="O310" i="1"/>
  <c r="M303" i="1"/>
  <c r="N303" i="1"/>
  <c r="O303" i="1"/>
  <c r="M515" i="1"/>
  <c r="N515" i="1"/>
  <c r="O515" i="1"/>
  <c r="M391" i="1"/>
  <c r="N391" i="1"/>
  <c r="O391" i="1"/>
  <c r="M344" i="1"/>
  <c r="N344" i="1"/>
  <c r="O344" i="1"/>
  <c r="M251" i="1"/>
  <c r="N251" i="1"/>
  <c r="O251" i="1"/>
  <c r="M478" i="1"/>
  <c r="N478" i="1"/>
  <c r="O478" i="1"/>
  <c r="M361" i="1"/>
  <c r="N361" i="1"/>
  <c r="O361" i="1"/>
  <c r="M345" i="1"/>
  <c r="N345" i="1"/>
  <c r="O345" i="1"/>
  <c r="M277" i="1"/>
  <c r="N277" i="1"/>
  <c r="O277" i="1"/>
  <c r="M168" i="1"/>
  <c r="N168" i="1"/>
  <c r="O168" i="1"/>
  <c r="M439" i="1"/>
  <c r="N439" i="1"/>
  <c r="O439" i="1"/>
  <c r="M429" i="1"/>
  <c r="N429" i="1"/>
  <c r="O429" i="1"/>
  <c r="M299" i="1"/>
  <c r="N299" i="1"/>
  <c r="O299" i="1"/>
  <c r="M85" i="1"/>
  <c r="N85" i="1"/>
  <c r="O85" i="1"/>
  <c r="M556" i="1"/>
  <c r="N556" i="1"/>
  <c r="O556" i="1"/>
  <c r="M406" i="1"/>
  <c r="N406" i="1"/>
  <c r="O406" i="1"/>
  <c r="M223" i="1"/>
  <c r="N223" i="1"/>
  <c r="O223" i="1"/>
  <c r="M98" i="1"/>
  <c r="N98" i="1"/>
  <c r="O98" i="1"/>
  <c r="M562" i="1"/>
  <c r="N562" i="1"/>
  <c r="O562" i="1"/>
  <c r="M564" i="1"/>
  <c r="N564" i="1"/>
  <c r="O564" i="1"/>
  <c r="M524" i="1"/>
  <c r="N524" i="1"/>
  <c r="O524" i="1"/>
  <c r="M336" i="1"/>
  <c r="N336" i="1"/>
  <c r="O336" i="1"/>
  <c r="M289" i="1"/>
  <c r="N289" i="1"/>
  <c r="O289" i="1"/>
  <c r="M215" i="1"/>
  <c r="N215" i="1"/>
  <c r="O215" i="1"/>
  <c r="M236" i="1"/>
  <c r="N236" i="1"/>
  <c r="O236" i="1"/>
  <c r="M191" i="1"/>
  <c r="N191" i="1"/>
  <c r="O191" i="1"/>
  <c r="M122" i="1"/>
  <c r="N122" i="1"/>
  <c r="O122" i="1"/>
  <c r="M275" i="1"/>
  <c r="N275" i="1"/>
  <c r="O275" i="1"/>
  <c r="M547" i="1"/>
  <c r="N547" i="1"/>
  <c r="O547" i="1"/>
  <c r="M276" i="1"/>
  <c r="N276" i="1"/>
  <c r="O276" i="1"/>
  <c r="M342" i="1"/>
  <c r="N342" i="1"/>
  <c r="O342" i="1"/>
  <c r="M377" i="1"/>
  <c r="N377" i="1"/>
  <c r="O377" i="1"/>
  <c r="M378" i="1"/>
  <c r="N378" i="1"/>
  <c r="O378" i="1"/>
  <c r="M396" i="1"/>
  <c r="N396" i="1"/>
  <c r="O396" i="1"/>
  <c r="M390" i="1"/>
  <c r="N390" i="1"/>
  <c r="O390" i="1"/>
  <c r="M517" i="1"/>
  <c r="N517" i="1"/>
  <c r="O517" i="1"/>
  <c r="M79" i="1"/>
  <c r="N79" i="1"/>
  <c r="O79" i="1"/>
  <c r="M255" i="1"/>
  <c r="N255" i="1"/>
  <c r="O255" i="1"/>
  <c r="M54" i="1"/>
  <c r="N54" i="1"/>
  <c r="O54" i="1"/>
  <c r="M476" i="1"/>
  <c r="N476" i="1"/>
  <c r="O476" i="1"/>
  <c r="M61" i="1"/>
  <c r="N61" i="1"/>
  <c r="O61" i="1"/>
  <c r="M86" i="1"/>
  <c r="N86" i="1"/>
  <c r="O86" i="1"/>
  <c r="M30" i="1"/>
  <c r="N30" i="1"/>
  <c r="O30" i="1"/>
  <c r="M423" i="1"/>
  <c r="N423" i="1"/>
  <c r="O423" i="1"/>
  <c r="M283" i="1"/>
  <c r="N283" i="1"/>
  <c r="O283" i="1"/>
  <c r="M356" i="1"/>
  <c r="N356" i="1"/>
  <c r="O356" i="1"/>
  <c r="M366" i="1"/>
  <c r="N366" i="1"/>
  <c r="O366" i="1"/>
  <c r="M260" i="1"/>
  <c r="N260" i="1"/>
  <c r="O260" i="1"/>
  <c r="M365" i="1"/>
  <c r="N365" i="1"/>
  <c r="O365" i="1"/>
  <c r="M404" i="1"/>
  <c r="N404" i="1"/>
  <c r="O404" i="1"/>
  <c r="M554" i="1"/>
  <c r="N554" i="1"/>
  <c r="O554" i="1"/>
  <c r="M414" i="1"/>
  <c r="N414" i="1"/>
  <c r="O414" i="1"/>
  <c r="M387" i="1"/>
  <c r="N387" i="1"/>
  <c r="O387" i="1"/>
  <c r="M520" i="1"/>
  <c r="N520" i="1"/>
  <c r="O520" i="1"/>
  <c r="M294" i="1"/>
  <c r="N294" i="1"/>
  <c r="O294" i="1"/>
  <c r="M347" i="1"/>
  <c r="N347" i="1"/>
  <c r="O347" i="1"/>
  <c r="M479" i="1"/>
  <c r="N479" i="1"/>
  <c r="O479" i="1"/>
  <c r="M551" i="1"/>
  <c r="N551" i="1"/>
  <c r="O551" i="1"/>
  <c r="M473" i="1"/>
  <c r="N473" i="1"/>
  <c r="O473" i="1"/>
  <c r="M386" i="1"/>
  <c r="N386" i="1"/>
  <c r="O386" i="1"/>
  <c r="M333" i="1"/>
  <c r="N333" i="1"/>
  <c r="O333" i="1"/>
  <c r="M546" i="1"/>
  <c r="N546" i="1"/>
  <c r="O546" i="1"/>
  <c r="M494" i="1"/>
  <c r="N494" i="1"/>
  <c r="O494" i="1"/>
  <c r="M438" i="1"/>
  <c r="N438" i="1"/>
  <c r="O438" i="1"/>
  <c r="M208" i="1"/>
  <c r="N208" i="1"/>
  <c r="O208" i="1"/>
  <c r="M440" i="1"/>
  <c r="N440" i="1"/>
  <c r="O440" i="1"/>
  <c r="M245" i="1"/>
  <c r="N245" i="1"/>
  <c r="O245" i="1"/>
  <c r="M492" i="1"/>
  <c r="N492" i="1"/>
  <c r="O492" i="1"/>
  <c r="M528" i="1"/>
  <c r="N528" i="1"/>
  <c r="O528" i="1"/>
  <c r="M338" i="1"/>
  <c r="N338" i="1"/>
  <c r="O338" i="1"/>
  <c r="M380" i="1"/>
  <c r="N380" i="1"/>
  <c r="O380" i="1"/>
  <c r="M64" i="1"/>
  <c r="N64" i="1"/>
  <c r="O64" i="1"/>
  <c r="M305" i="1"/>
  <c r="N305" i="1"/>
  <c r="O305" i="1"/>
  <c r="M292" i="1"/>
  <c r="N292" i="1"/>
  <c r="O292" i="1"/>
  <c r="M133" i="1"/>
  <c r="N133" i="1"/>
  <c r="O133" i="1"/>
  <c r="M500" i="1"/>
  <c r="N500" i="1"/>
  <c r="O500" i="1"/>
  <c r="M302" i="1"/>
  <c r="N302" i="1"/>
  <c r="O302" i="1"/>
  <c r="M128" i="1"/>
  <c r="N128" i="1"/>
  <c r="O128" i="1"/>
  <c r="M151" i="1"/>
  <c r="N151" i="1"/>
  <c r="O151" i="1"/>
  <c r="M373" i="1"/>
  <c r="N373" i="1"/>
  <c r="O373" i="1"/>
  <c r="M89" i="1"/>
  <c r="N89" i="1"/>
  <c r="O89" i="1"/>
  <c r="M131" i="1"/>
  <c r="N131" i="1"/>
  <c r="O131" i="1"/>
  <c r="M495" i="1"/>
  <c r="N495" i="1"/>
  <c r="O495" i="1"/>
  <c r="M402" i="1"/>
  <c r="N402" i="1"/>
  <c r="O402" i="1"/>
  <c r="M370" i="1"/>
  <c r="N370" i="1"/>
  <c r="O370" i="1"/>
  <c r="M424" i="1"/>
  <c r="N424" i="1"/>
  <c r="O424" i="1"/>
  <c r="M485" i="1"/>
  <c r="N485" i="1"/>
  <c r="O485" i="1"/>
  <c r="M448" i="1"/>
  <c r="N448" i="1"/>
  <c r="O448" i="1"/>
  <c r="M169" i="1"/>
  <c r="N169" i="1"/>
  <c r="O169" i="1"/>
  <c r="M90" i="1"/>
  <c r="N90" i="1"/>
  <c r="O90" i="1"/>
  <c r="M510" i="1"/>
  <c r="N510" i="1"/>
  <c r="O510" i="1"/>
  <c r="M484" i="1"/>
  <c r="N484" i="1"/>
  <c r="O484" i="1"/>
  <c r="M527" i="1"/>
  <c r="N527" i="1"/>
  <c r="O527" i="1"/>
  <c r="M482" i="1"/>
  <c r="N482" i="1"/>
  <c r="O482" i="1"/>
  <c r="M401" i="1"/>
  <c r="N401" i="1"/>
  <c r="O401" i="1"/>
  <c r="M513" i="1"/>
  <c r="N513" i="1"/>
  <c r="O513" i="1"/>
  <c r="M530" i="1"/>
  <c r="N530" i="1"/>
  <c r="O530" i="1"/>
  <c r="M383" i="1"/>
  <c r="N383" i="1"/>
  <c r="O383" i="1"/>
  <c r="M413" i="1"/>
  <c r="N413" i="1"/>
  <c r="O413" i="1"/>
  <c r="M132" i="1"/>
  <c r="N132" i="1"/>
  <c r="O132" i="1"/>
  <c r="M559" i="1"/>
  <c r="N559" i="1"/>
  <c r="O559" i="1"/>
  <c r="M218" i="1"/>
  <c r="N218" i="1"/>
  <c r="O218" i="1"/>
  <c r="M363" i="1"/>
  <c r="N363" i="1"/>
  <c r="O363" i="1"/>
  <c r="M35" i="1"/>
  <c r="N35" i="1"/>
  <c r="O35" i="1"/>
  <c r="M28" i="1"/>
  <c r="N28" i="1"/>
  <c r="O28" i="1"/>
  <c r="M12" i="1"/>
  <c r="N12" i="1"/>
  <c r="O12" i="1"/>
  <c r="M375" i="1"/>
  <c r="N375" i="1"/>
  <c r="O375" i="1"/>
  <c r="M263" i="1"/>
  <c r="N263" i="1"/>
  <c r="O263" i="1"/>
  <c r="M516" i="1"/>
  <c r="N516" i="1"/>
  <c r="O516" i="1"/>
  <c r="M52" i="1"/>
  <c r="N52" i="1"/>
  <c r="O52" i="1"/>
  <c r="M94" i="1"/>
  <c r="N94" i="1"/>
  <c r="O94" i="1"/>
  <c r="M149" i="1"/>
  <c r="N149" i="1"/>
  <c r="O149" i="1"/>
  <c r="M107" i="1"/>
  <c r="N107" i="1"/>
  <c r="O107" i="1"/>
  <c r="M222" i="1"/>
  <c r="N222" i="1"/>
  <c r="O222" i="1"/>
  <c r="M552" i="1"/>
  <c r="N552" i="1"/>
  <c r="O552" i="1"/>
  <c r="M116" i="1"/>
  <c r="N116" i="1"/>
  <c r="O116" i="1"/>
  <c r="M238" i="1"/>
  <c r="N238" i="1"/>
  <c r="O238" i="1"/>
  <c r="M63" i="1"/>
  <c r="N63" i="1"/>
  <c r="O63" i="1"/>
  <c r="M417" i="1"/>
  <c r="N417" i="1"/>
  <c r="O417" i="1"/>
  <c r="M43" i="1"/>
  <c r="N43" i="1"/>
  <c r="O43" i="1"/>
  <c r="M46" i="1"/>
  <c r="N46" i="1"/>
  <c r="O46" i="1"/>
  <c r="M76" i="1"/>
  <c r="N76" i="1"/>
  <c r="O76" i="1"/>
  <c r="M273" i="1"/>
  <c r="N273" i="1"/>
  <c r="O273" i="1"/>
  <c r="M501" i="1"/>
  <c r="N501" i="1"/>
  <c r="O501" i="1"/>
  <c r="M182" i="1"/>
  <c r="N182" i="1"/>
  <c r="O182" i="1"/>
  <c r="M392" i="1"/>
  <c r="N392" i="1"/>
  <c r="O392" i="1"/>
  <c r="M493" i="1"/>
  <c r="N493" i="1"/>
  <c r="O493" i="1"/>
  <c r="M503" i="1"/>
  <c r="N503" i="1"/>
  <c r="O503" i="1"/>
  <c r="M461" i="1"/>
  <c r="N461" i="1"/>
  <c r="O461" i="1"/>
  <c r="M560" i="1"/>
  <c r="N560" i="1"/>
  <c r="O560" i="1"/>
  <c r="M555" i="1"/>
  <c r="N555" i="1"/>
  <c r="O555" i="1"/>
  <c r="M488" i="1"/>
  <c r="N488" i="1"/>
  <c r="O488" i="1"/>
  <c r="M405" i="1"/>
  <c r="N405" i="1"/>
  <c r="O405" i="1"/>
  <c r="M88" i="1"/>
  <c r="N88" i="1"/>
  <c r="O88" i="1"/>
  <c r="M334" i="1"/>
  <c r="N334" i="1"/>
  <c r="O334" i="1"/>
  <c r="M23" i="1"/>
  <c r="N23" i="1"/>
  <c r="O23" i="1"/>
  <c r="M36" i="1"/>
  <c r="N36" i="1"/>
  <c r="O36" i="1"/>
  <c r="M244" i="1"/>
  <c r="N244" i="1"/>
  <c r="O244" i="1"/>
  <c r="M445" i="1"/>
  <c r="N445" i="1"/>
  <c r="O445" i="1"/>
  <c r="M505" i="1"/>
  <c r="N505" i="1"/>
  <c r="O505" i="1"/>
  <c r="M462" i="1"/>
  <c r="N462" i="1"/>
  <c r="O462" i="1"/>
  <c r="M178" i="1"/>
  <c r="N178" i="1"/>
  <c r="O178" i="1"/>
  <c r="M199" i="1"/>
  <c r="N199" i="1"/>
  <c r="O199" i="1"/>
  <c r="M140" i="1"/>
  <c r="N140" i="1"/>
  <c r="O140" i="1"/>
  <c r="M155" i="1"/>
  <c r="N155" i="1"/>
  <c r="O155" i="1"/>
  <c r="M68" i="1"/>
  <c r="N68" i="1"/>
  <c r="O68" i="1"/>
  <c r="M397" i="1"/>
  <c r="N397" i="1"/>
  <c r="O397" i="1"/>
  <c r="M84" i="1"/>
  <c r="N84" i="1"/>
  <c r="O84" i="1"/>
  <c r="M465" i="1"/>
  <c r="N465" i="1"/>
  <c r="O465" i="1"/>
  <c r="M111" i="1"/>
  <c r="N111" i="1"/>
  <c r="O111" i="1"/>
  <c r="M210" i="1"/>
  <c r="N210" i="1"/>
  <c r="O210" i="1"/>
  <c r="M381" i="1"/>
  <c r="N381" i="1"/>
  <c r="O381" i="1"/>
  <c r="M8" i="1"/>
  <c r="N8" i="1"/>
  <c r="O8" i="1"/>
  <c r="M18" i="1"/>
  <c r="N18" i="1"/>
  <c r="O18" i="1"/>
  <c r="M104" i="1"/>
  <c r="N104" i="1"/>
  <c r="O104" i="1"/>
  <c r="M293" i="1"/>
  <c r="N293" i="1"/>
  <c r="O293" i="1"/>
  <c r="M247" i="1"/>
  <c r="N247" i="1"/>
  <c r="O247" i="1"/>
  <c r="M252" i="1"/>
  <c r="N252" i="1"/>
  <c r="O252" i="1"/>
  <c r="M16" i="1"/>
  <c r="N16" i="1"/>
  <c r="O16" i="1"/>
  <c r="M339" i="1"/>
  <c r="N339" i="1"/>
  <c r="O339" i="1"/>
  <c r="M144" i="1"/>
  <c r="N144" i="1"/>
  <c r="O144" i="1"/>
  <c r="M73" i="1"/>
  <c r="N73" i="1"/>
  <c r="O73" i="1"/>
  <c r="M248" i="1"/>
  <c r="N248" i="1"/>
  <c r="O248" i="1"/>
  <c r="M50" i="1"/>
  <c r="N50" i="1"/>
  <c r="O50" i="1"/>
  <c r="M59" i="1"/>
  <c r="N59" i="1"/>
  <c r="O59" i="1"/>
  <c r="M39" i="1"/>
  <c r="N39" i="1"/>
  <c r="O39" i="1"/>
  <c r="M100" i="1"/>
  <c r="N100" i="1"/>
  <c r="O100" i="1"/>
  <c r="M457" i="1"/>
  <c r="N457" i="1"/>
  <c r="O457" i="1"/>
  <c r="M162" i="1"/>
  <c r="N162" i="1"/>
  <c r="O162" i="1"/>
  <c r="M119" i="1"/>
  <c r="N119" i="1"/>
  <c r="O119" i="1"/>
  <c r="M261" i="1"/>
  <c r="N261" i="1"/>
  <c r="O261" i="1"/>
  <c r="M321" i="1"/>
  <c r="N321" i="1"/>
  <c r="O321" i="1"/>
  <c r="M125" i="1"/>
  <c r="N125" i="1"/>
  <c r="O125" i="1"/>
  <c r="M42" i="1"/>
  <c r="N42" i="1"/>
  <c r="O42" i="1"/>
  <c r="M400" i="1"/>
  <c r="N400" i="1"/>
  <c r="O400" i="1"/>
  <c r="M523" i="1"/>
  <c r="N523" i="1"/>
  <c r="O523" i="1"/>
  <c r="M443" i="1"/>
  <c r="N443" i="1"/>
  <c r="O443" i="1"/>
  <c r="M550" i="1"/>
  <c r="N550" i="1"/>
  <c r="O550" i="1"/>
  <c r="M537" i="1"/>
  <c r="N537" i="1"/>
  <c r="O537" i="1"/>
  <c r="M540" i="1"/>
  <c r="N540" i="1"/>
  <c r="O540" i="1"/>
  <c r="M280" i="1"/>
  <c r="N280" i="1"/>
  <c r="O280" i="1"/>
  <c r="M561" i="1"/>
  <c r="N561" i="1"/>
  <c r="O561" i="1"/>
  <c r="M563" i="1"/>
  <c r="N563" i="1"/>
  <c r="O563" i="1"/>
  <c r="M57" i="1"/>
  <c r="N57" i="1"/>
  <c r="O57" i="1"/>
  <c r="M229" i="1"/>
  <c r="N229" i="1"/>
  <c r="O229" i="1"/>
  <c r="M442" i="1"/>
  <c r="N442" i="1"/>
  <c r="O442" i="1"/>
  <c r="M147" i="1"/>
  <c r="N147" i="1"/>
  <c r="O147" i="1"/>
  <c r="M382" i="1"/>
  <c r="N382" i="1"/>
  <c r="O382" i="1"/>
  <c r="M352" i="1"/>
  <c r="N352" i="1"/>
  <c r="O352" i="1"/>
  <c r="M298" i="1"/>
  <c r="N298" i="1"/>
  <c r="O298" i="1"/>
  <c r="M241" i="1"/>
  <c r="N241" i="1"/>
  <c r="O241" i="1"/>
  <c r="M285" i="1"/>
  <c r="N285" i="1"/>
  <c r="O285" i="1"/>
  <c r="M193" i="1"/>
  <c r="N193" i="1"/>
  <c r="O193" i="1"/>
  <c r="M127" i="1"/>
  <c r="N127" i="1"/>
  <c r="O127" i="1"/>
  <c r="M81" i="1"/>
  <c r="N81" i="1"/>
  <c r="O81" i="1"/>
  <c r="M243" i="1"/>
  <c r="N243" i="1"/>
  <c r="O243" i="1"/>
  <c r="M477" i="1"/>
  <c r="N477" i="1"/>
  <c r="O477" i="1"/>
  <c r="M426" i="1"/>
  <c r="N426" i="1"/>
  <c r="O426" i="1"/>
  <c r="M257" i="1"/>
  <c r="N257" i="1"/>
  <c r="O257" i="1"/>
  <c r="M409" i="1"/>
  <c r="N409" i="1"/>
  <c r="O409" i="1"/>
  <c r="M154" i="1"/>
  <c r="N154" i="1"/>
  <c r="O154" i="1"/>
  <c r="M286" i="1"/>
  <c r="N286" i="1"/>
  <c r="O286" i="1"/>
  <c r="M181" i="1"/>
  <c r="N181" i="1"/>
  <c r="O181" i="1"/>
  <c r="M265" i="1"/>
  <c r="N265" i="1"/>
  <c r="O265" i="1"/>
  <c r="M535" i="1"/>
  <c r="N535" i="1"/>
  <c r="O535" i="1"/>
  <c r="M83" i="1"/>
  <c r="N83" i="1"/>
  <c r="O83" i="1"/>
  <c r="M124" i="1"/>
  <c r="N124" i="1"/>
  <c r="O124" i="1"/>
  <c r="M416" i="1"/>
  <c r="N416" i="1"/>
  <c r="O416" i="1"/>
  <c r="M367" i="1"/>
  <c r="N367" i="1"/>
  <c r="O367" i="1"/>
  <c r="M453" i="1"/>
  <c r="N453" i="1"/>
  <c r="O453" i="1"/>
  <c r="M433" i="1"/>
  <c r="N433" i="1"/>
  <c r="O433" i="1"/>
  <c r="M522" i="1"/>
  <c r="N522" i="1"/>
  <c r="O522" i="1"/>
  <c r="M330" i="1"/>
  <c r="N330" i="1"/>
  <c r="O330" i="1"/>
  <c r="M235" i="1"/>
  <c r="N235" i="1"/>
  <c r="O235" i="1"/>
  <c r="M284" i="1"/>
  <c r="N284" i="1"/>
  <c r="O284" i="1"/>
  <c r="M323" i="1"/>
  <c r="N323" i="1"/>
  <c r="O323" i="1"/>
  <c r="M220" i="1"/>
  <c r="N220" i="1"/>
  <c r="O220" i="1"/>
  <c r="M446" i="1"/>
  <c r="N446" i="1"/>
  <c r="O446" i="1"/>
  <c r="M177" i="1"/>
  <c r="N177" i="1"/>
  <c r="O177" i="1"/>
  <c r="M189" i="1"/>
  <c r="N189" i="1"/>
  <c r="O189" i="1"/>
  <c r="M427" i="1"/>
  <c r="N427" i="1"/>
  <c r="O427" i="1"/>
  <c r="M82" i="1"/>
  <c r="N82" i="1"/>
  <c r="O82" i="1"/>
  <c r="M72" i="1"/>
  <c r="N72" i="1"/>
  <c r="O72" i="1"/>
  <c r="M389" i="1"/>
  <c r="N389" i="1"/>
  <c r="O389" i="1"/>
  <c r="M34" i="1"/>
  <c r="N34" i="1"/>
  <c r="O34" i="1"/>
  <c r="M359" i="1"/>
  <c r="N359" i="1"/>
  <c r="O359" i="1"/>
  <c r="M249" i="1"/>
  <c r="N249" i="1"/>
  <c r="O249" i="1"/>
  <c r="M279" i="1"/>
  <c r="N279" i="1"/>
  <c r="O279" i="1"/>
  <c r="M118" i="1"/>
  <c r="N118" i="1"/>
  <c r="O118" i="1"/>
  <c r="M217" i="1"/>
  <c r="N217" i="1"/>
  <c r="O217" i="1"/>
  <c r="M239" i="1"/>
  <c r="N239" i="1"/>
  <c r="O239" i="1"/>
  <c r="M511" i="1"/>
  <c r="N511" i="1"/>
  <c r="O511" i="1"/>
  <c r="M444" i="1"/>
  <c r="N444" i="1"/>
  <c r="O444" i="1"/>
  <c r="M271" i="1"/>
  <c r="N271" i="1"/>
  <c r="O271" i="1"/>
  <c r="M120" i="1"/>
  <c r="N120" i="1"/>
  <c r="O120" i="1"/>
  <c r="M304" i="1"/>
  <c r="N304" i="1"/>
  <c r="O304" i="1"/>
  <c r="M398" i="1"/>
  <c r="N398" i="1"/>
  <c r="O398" i="1"/>
  <c r="M441" i="1"/>
  <c r="N441" i="1"/>
  <c r="O441" i="1"/>
  <c r="M20" i="1"/>
  <c r="N20" i="1"/>
  <c r="O20" i="1"/>
  <c r="M246" i="1"/>
  <c r="N246" i="1"/>
  <c r="O246" i="1"/>
  <c r="M369" i="1"/>
  <c r="N369" i="1"/>
  <c r="O369" i="1"/>
  <c r="M91" i="1"/>
  <c r="N91" i="1"/>
  <c r="O91" i="1"/>
  <c r="M309" i="1"/>
  <c r="N309" i="1"/>
  <c r="O309" i="1"/>
  <c r="M329" i="1"/>
  <c r="N329" i="1"/>
  <c r="O329" i="1"/>
  <c r="M351" i="1"/>
  <c r="N351" i="1"/>
  <c r="O351" i="1"/>
  <c r="M319" i="1"/>
  <c r="N319" i="1"/>
  <c r="O319" i="1"/>
  <c r="M320" i="1"/>
  <c r="N320" i="1"/>
  <c r="O320" i="1"/>
  <c r="M504" i="1"/>
  <c r="N504" i="1"/>
  <c r="O504" i="1"/>
  <c r="M437" i="1"/>
  <c r="N437" i="1"/>
  <c r="O437" i="1"/>
  <c r="M470" i="1"/>
  <c r="N470" i="1"/>
  <c r="O470" i="1"/>
  <c r="M166" i="1"/>
  <c r="N166" i="1"/>
  <c r="O166" i="1"/>
  <c r="M26" i="1"/>
  <c r="N26" i="1"/>
  <c r="O26" i="1"/>
  <c r="M499" i="1"/>
  <c r="N499" i="1"/>
  <c r="O499" i="1"/>
  <c r="M237" i="1"/>
  <c r="N237" i="1"/>
  <c r="O237" i="1"/>
  <c r="M393" i="1"/>
  <c r="N393" i="1"/>
  <c r="O393" i="1"/>
  <c r="M487" i="1"/>
  <c r="N487" i="1"/>
  <c r="O487" i="1"/>
  <c r="M312" i="1"/>
  <c r="N312" i="1"/>
  <c r="O312" i="1"/>
  <c r="M447" i="1"/>
  <c r="N447" i="1"/>
  <c r="O447" i="1"/>
  <c r="M117" i="1"/>
  <c r="N117" i="1"/>
  <c r="O117" i="1"/>
  <c r="M256" i="1"/>
  <c r="N256" i="1"/>
  <c r="O256" i="1"/>
  <c r="M77" i="1"/>
  <c r="N77" i="1"/>
  <c r="O77" i="1"/>
  <c r="M287" i="1"/>
  <c r="N287" i="1"/>
  <c r="O287" i="1"/>
  <c r="M159" i="1"/>
  <c r="N159" i="1"/>
  <c r="O159" i="1"/>
  <c r="M548" i="1"/>
  <c r="N548" i="1"/>
  <c r="O548" i="1"/>
  <c r="M368" i="1"/>
  <c r="N368" i="1"/>
  <c r="O368" i="1"/>
  <c r="M58" i="1"/>
  <c r="N58" i="1"/>
  <c r="O58" i="1"/>
  <c r="M483" i="1"/>
  <c r="N483" i="1"/>
  <c r="O483" i="1"/>
  <c r="M346" i="1"/>
  <c r="N346" i="1"/>
  <c r="O346" i="1"/>
  <c r="M233" i="1"/>
  <c r="N233" i="1"/>
  <c r="O233" i="1"/>
  <c r="M282" i="1"/>
  <c r="N282" i="1"/>
  <c r="O282" i="1"/>
  <c r="M458" i="1"/>
  <c r="N458" i="1"/>
  <c r="O458" i="1"/>
  <c r="M185" i="1"/>
  <c r="N185" i="1"/>
  <c r="O185" i="1"/>
  <c r="M533" i="1"/>
  <c r="N533" i="1"/>
  <c r="O533" i="1"/>
  <c r="M259" i="1"/>
  <c r="N259" i="1"/>
  <c r="O259" i="1"/>
  <c r="M467" i="1"/>
  <c r="N467" i="1"/>
  <c r="O467" i="1"/>
  <c r="M480" i="1"/>
  <c r="N480" i="1"/>
  <c r="O480" i="1"/>
  <c r="M204" i="1"/>
  <c r="N204" i="1"/>
  <c r="O204" i="1"/>
  <c r="M395" i="1"/>
  <c r="N395" i="1"/>
  <c r="O395" i="1"/>
  <c r="M306" i="1"/>
  <c r="N306" i="1"/>
  <c r="O306" i="1"/>
  <c r="M374" i="1"/>
  <c r="N374" i="1"/>
  <c r="O374" i="1"/>
  <c r="M201" i="1"/>
  <c r="N201" i="1"/>
  <c r="O201" i="1"/>
  <c r="M272" i="1"/>
  <c r="N272" i="1"/>
  <c r="O272" i="1"/>
  <c r="M40" i="1"/>
  <c r="N40" i="1"/>
  <c r="O40" i="1"/>
  <c r="M355" i="1"/>
  <c r="N355" i="1"/>
  <c r="O355" i="1"/>
  <c r="M463" i="1"/>
  <c r="N463" i="1"/>
  <c r="O463" i="1"/>
  <c r="M526" i="1"/>
  <c r="N526" i="1"/>
  <c r="O526" i="1"/>
  <c r="M156" i="1"/>
  <c r="N156" i="1"/>
  <c r="O156" i="1"/>
  <c r="M349" i="1"/>
  <c r="N349" i="1"/>
  <c r="O349" i="1"/>
  <c r="M518" i="1"/>
  <c r="N518" i="1"/>
  <c r="O518" i="1"/>
  <c r="M142" i="1"/>
  <c r="N142" i="1"/>
  <c r="O142" i="1"/>
  <c r="M422" i="1"/>
  <c r="N422" i="1"/>
  <c r="O422" i="1"/>
  <c r="M519" i="1"/>
  <c r="N519" i="1"/>
  <c r="O519" i="1"/>
  <c r="M454" i="1"/>
  <c r="N454" i="1"/>
  <c r="O454" i="1"/>
  <c r="M403" i="1"/>
  <c r="N403" i="1"/>
  <c r="O403" i="1"/>
  <c r="M421" i="1"/>
  <c r="N421" i="1"/>
  <c r="O421" i="1"/>
  <c r="M103" i="1"/>
  <c r="N103" i="1"/>
  <c r="O103" i="1"/>
  <c r="M75" i="1"/>
  <c r="N75" i="1"/>
  <c r="O75" i="1"/>
  <c r="M343" i="1"/>
  <c r="N343" i="1"/>
  <c r="O343" i="1"/>
  <c r="M296" i="1"/>
  <c r="N296" i="1"/>
  <c r="O296" i="1"/>
  <c r="M468" i="1"/>
  <c r="N468" i="1"/>
  <c r="O468" i="1"/>
  <c r="M153" i="1"/>
  <c r="N153" i="1"/>
  <c r="O153" i="1"/>
  <c r="M102" i="1"/>
  <c r="N102" i="1"/>
  <c r="O102" i="1"/>
  <c r="M459" i="1"/>
  <c r="N459" i="1"/>
  <c r="O459" i="1"/>
  <c r="M212" i="1"/>
  <c r="N212" i="1"/>
  <c r="O212" i="1"/>
  <c r="M174" i="1"/>
  <c r="N174" i="1"/>
  <c r="O174" i="1"/>
  <c r="M553" i="1"/>
  <c r="N553" i="1"/>
  <c r="O553" i="1"/>
  <c r="M512" i="1"/>
  <c r="N512" i="1"/>
  <c r="O512" i="1"/>
  <c r="M101" i="1"/>
  <c r="N101" i="1"/>
  <c r="O101" i="1"/>
  <c r="M164" i="1"/>
  <c r="N164" i="1"/>
  <c r="O164" i="1"/>
  <c r="M258" i="1"/>
  <c r="N258" i="1"/>
  <c r="O258" i="1"/>
  <c r="M436" i="1"/>
  <c r="N436" i="1"/>
  <c r="O436" i="1"/>
  <c r="M115" i="1"/>
  <c r="N115" i="1"/>
  <c r="O115" i="1"/>
  <c r="M221" i="1"/>
  <c r="N221" i="1"/>
  <c r="O221" i="1"/>
  <c r="M27" i="1"/>
  <c r="N27" i="1"/>
  <c r="O27" i="1"/>
  <c r="M158" i="1"/>
  <c r="N158" i="1"/>
  <c r="O158" i="1"/>
  <c r="M24" i="1"/>
  <c r="N24" i="1"/>
  <c r="O24" i="1"/>
  <c r="M67" i="1"/>
  <c r="N67" i="1"/>
  <c r="O67" i="1"/>
  <c r="M430" i="1"/>
  <c r="N430" i="1"/>
  <c r="O430" i="1"/>
  <c r="M496" i="1"/>
  <c r="N496" i="1"/>
  <c r="O496" i="1"/>
  <c r="M469" i="1"/>
  <c r="N469" i="1"/>
  <c r="O469" i="1"/>
  <c r="M32" i="1"/>
  <c r="N32" i="1"/>
  <c r="O32" i="1"/>
  <c r="M70" i="1"/>
  <c r="N70" i="1"/>
  <c r="O70" i="1"/>
  <c r="M96" i="1"/>
  <c r="N96" i="1"/>
  <c r="O96" i="1"/>
  <c r="M337" i="1"/>
  <c r="N337" i="1"/>
  <c r="O337" i="1"/>
  <c r="M113" i="1"/>
  <c r="N113" i="1"/>
  <c r="O113" i="1"/>
  <c r="M206" i="1"/>
  <c r="N206" i="1"/>
  <c r="O206" i="1"/>
  <c r="M145" i="1"/>
  <c r="N145" i="1"/>
  <c r="O145" i="1"/>
  <c r="M37" i="1"/>
  <c r="N37" i="1"/>
  <c r="O37" i="1"/>
  <c r="N71" i="1"/>
  <c r="O71" i="1"/>
  <c r="M71" i="1"/>
  <c r="N566" i="1" l="1"/>
  <c r="M568" i="1"/>
  <c r="M567" i="1"/>
  <c r="O566" i="1"/>
  <c r="M572" i="1"/>
  <c r="F575" i="1"/>
  <c r="N572" i="1"/>
  <c r="F569" i="1"/>
  <c r="F570" i="1" s="1"/>
  <c r="F574" i="1"/>
  <c r="O572" i="1"/>
  <c r="O568" i="1"/>
  <c r="N568" i="1"/>
  <c r="S573" i="1"/>
  <c r="S572" i="1"/>
  <c r="S567" i="1"/>
  <c r="S566" i="1"/>
  <c r="S568" i="1"/>
  <c r="O567" i="1"/>
  <c r="N567" i="1"/>
  <c r="O573" i="1"/>
  <c r="N573" i="1"/>
  <c r="M573" i="1"/>
  <c r="M574" i="1" s="1"/>
  <c r="M566" i="1"/>
  <c r="M569" i="1" s="1"/>
  <c r="M571" i="1" s="1"/>
  <c r="F571" i="1"/>
  <c r="P553" i="1"/>
  <c r="R124" i="1"/>
  <c r="Q560" i="1"/>
  <c r="P528" i="1"/>
  <c r="R172" i="1"/>
  <c r="P483" i="1"/>
  <c r="Q511" i="1"/>
  <c r="P249" i="1"/>
  <c r="P144" i="1"/>
  <c r="P281" i="1"/>
  <c r="P35" i="1"/>
  <c r="Q320" i="1"/>
  <c r="Q128" i="1"/>
  <c r="P81" i="1"/>
  <c r="R273" i="1"/>
  <c r="P318" i="1"/>
  <c r="P413" i="1"/>
  <c r="R458" i="1"/>
  <c r="R320" i="1"/>
  <c r="Q193" i="1"/>
  <c r="P113" i="1"/>
  <c r="Q107" i="1"/>
  <c r="Q463" i="1"/>
  <c r="Q63" i="1"/>
  <c r="P289" i="1"/>
  <c r="Q214" i="1"/>
  <c r="P240" i="1"/>
  <c r="R496" i="1"/>
  <c r="P463" i="1"/>
  <c r="Q77" i="1"/>
  <c r="Q487" i="1"/>
  <c r="R319" i="1"/>
  <c r="Q189" i="1"/>
  <c r="R257" i="1"/>
  <c r="R127" i="1"/>
  <c r="Q405" i="1"/>
  <c r="P503" i="1"/>
  <c r="Q30" i="1"/>
  <c r="R377" i="1"/>
  <c r="Q396" i="1"/>
  <c r="P322" i="1"/>
  <c r="P398" i="1"/>
  <c r="R27" i="1"/>
  <c r="R352" i="1"/>
  <c r="Q496" i="1"/>
  <c r="Q467" i="1"/>
  <c r="P282" i="1"/>
  <c r="P77" i="1"/>
  <c r="P265" i="1"/>
  <c r="Q260" i="1"/>
  <c r="R408" i="1"/>
  <c r="Q202" i="1"/>
  <c r="Q150" i="1"/>
  <c r="P438" i="1"/>
  <c r="R113" i="1"/>
  <c r="P497" i="1"/>
  <c r="R469" i="1"/>
  <c r="Q91" i="1"/>
  <c r="Q455" i="1"/>
  <c r="P298" i="1"/>
  <c r="Q495" i="1"/>
  <c r="R487" i="1"/>
  <c r="P409" i="1"/>
  <c r="Q403" i="1"/>
  <c r="R235" i="1"/>
  <c r="Q257" i="1"/>
  <c r="P537" i="1"/>
  <c r="P143" i="1"/>
  <c r="P337" i="1"/>
  <c r="P403" i="1"/>
  <c r="Q518" i="1"/>
  <c r="Q355" i="1"/>
  <c r="P467" i="1"/>
  <c r="R368" i="1"/>
  <c r="R256" i="1"/>
  <c r="P367" i="1"/>
  <c r="R181" i="1"/>
  <c r="R178" i="1"/>
  <c r="R488" i="1"/>
  <c r="P149" i="1"/>
  <c r="Q375" i="1"/>
  <c r="Q508" i="1"/>
  <c r="Q221" i="1"/>
  <c r="Q92" i="1"/>
  <c r="Q398" i="1"/>
  <c r="P258" i="1"/>
  <c r="P26" i="1"/>
  <c r="P158" i="1"/>
  <c r="R255" i="1"/>
  <c r="R189" i="1"/>
  <c r="R518" i="1"/>
  <c r="Q367" i="1"/>
  <c r="Q127" i="1"/>
  <c r="R96" i="1"/>
  <c r="Q459" i="1"/>
  <c r="Q343" i="1"/>
  <c r="P355" i="1"/>
  <c r="R306" i="1"/>
  <c r="Q246" i="1"/>
  <c r="R193" i="1"/>
  <c r="P238" i="1"/>
  <c r="P79" i="1"/>
  <c r="P262" i="1"/>
  <c r="R234" i="1"/>
  <c r="Q187" i="1"/>
  <c r="R91" i="1"/>
  <c r="Q400" i="1"/>
  <c r="Q430" i="1"/>
  <c r="P459" i="1"/>
  <c r="P343" i="1"/>
  <c r="R349" i="1"/>
  <c r="Q118" i="1"/>
  <c r="P389" i="1"/>
  <c r="P177" i="1"/>
  <c r="R330" i="1"/>
  <c r="Q426" i="1"/>
  <c r="Q397" i="1"/>
  <c r="P76" i="1"/>
  <c r="Q435" i="1"/>
  <c r="Q319" i="1"/>
  <c r="R174" i="1"/>
  <c r="R480" i="1"/>
  <c r="P101" i="1"/>
  <c r="Q349" i="1"/>
  <c r="P118" i="1"/>
  <c r="R72" i="1"/>
  <c r="R446" i="1"/>
  <c r="Q330" i="1"/>
  <c r="P426" i="1"/>
  <c r="R247" i="1"/>
  <c r="Q381" i="1"/>
  <c r="R555" i="1"/>
  <c r="R46" i="1"/>
  <c r="P366" i="1"/>
  <c r="R268" i="1"/>
  <c r="P430" i="1"/>
  <c r="R512" i="1"/>
  <c r="R533" i="1"/>
  <c r="Q286" i="1"/>
  <c r="P457" i="1"/>
  <c r="R73" i="1"/>
  <c r="R23" i="1"/>
  <c r="Q555" i="1"/>
  <c r="Q392" i="1"/>
  <c r="R373" i="1"/>
  <c r="R554" i="1"/>
  <c r="R356" i="1"/>
  <c r="R125" i="1"/>
  <c r="R287" i="1"/>
  <c r="R145" i="1"/>
  <c r="P115" i="1"/>
  <c r="Q329" i="1"/>
  <c r="P20" i="1"/>
  <c r="R444" i="1"/>
  <c r="R522" i="1"/>
  <c r="Q124" i="1"/>
  <c r="P286" i="1"/>
  <c r="R321" i="1"/>
  <c r="R100" i="1"/>
  <c r="Q73" i="1"/>
  <c r="P462" i="1"/>
  <c r="P347" i="1"/>
  <c r="Q554" i="1"/>
  <c r="R515" i="1"/>
  <c r="Q51" i="1"/>
  <c r="Q292" i="1"/>
  <c r="R188" i="1"/>
  <c r="R153" i="1"/>
  <c r="R441" i="1"/>
  <c r="R442" i="1"/>
  <c r="Q321" i="1"/>
  <c r="R505" i="1"/>
  <c r="P90" i="1"/>
  <c r="Q370" i="1"/>
  <c r="R386" i="1"/>
  <c r="R478" i="1"/>
  <c r="P176" i="1"/>
  <c r="P125" i="1"/>
  <c r="Q205" i="1"/>
  <c r="R245" i="1"/>
  <c r="Q458" i="1"/>
  <c r="R499" i="1"/>
  <c r="Q444" i="1"/>
  <c r="Q436" i="1"/>
  <c r="Q153" i="1"/>
  <c r="Q156" i="1"/>
  <c r="R249" i="1"/>
  <c r="Q82" i="1"/>
  <c r="P522" i="1"/>
  <c r="Q442" i="1"/>
  <c r="Q280" i="1"/>
  <c r="R155" i="1"/>
  <c r="P401" i="1"/>
  <c r="Q386" i="1"/>
  <c r="R294" i="1"/>
  <c r="R283" i="1"/>
  <c r="Q515" i="1"/>
  <c r="Q258" i="1"/>
  <c r="R229" i="1"/>
  <c r="R436" i="1"/>
  <c r="P437" i="1"/>
  <c r="P329" i="1"/>
  <c r="Q522" i="1"/>
  <c r="R24" i="1"/>
  <c r="R553" i="1"/>
  <c r="Q499" i="1"/>
  <c r="Q220" i="1"/>
  <c r="Q553" i="1"/>
  <c r="P156" i="1"/>
  <c r="P447" i="1"/>
  <c r="P499" i="1"/>
  <c r="R511" i="1"/>
  <c r="Q249" i="1"/>
  <c r="P82" i="1"/>
  <c r="P220" i="1"/>
  <c r="P280" i="1"/>
  <c r="Q155" i="1"/>
  <c r="R292" i="1"/>
  <c r="Q528" i="1"/>
  <c r="Q438" i="1"/>
  <c r="R396" i="1"/>
  <c r="Q547" i="1"/>
  <c r="R215" i="1"/>
  <c r="R62" i="1"/>
  <c r="P161" i="1"/>
  <c r="R267" i="1"/>
  <c r="P455" i="1"/>
  <c r="R161" i="1"/>
  <c r="Q96" i="1"/>
  <c r="R304" i="1"/>
  <c r="R119" i="1"/>
  <c r="P555" i="1"/>
  <c r="Q448" i="1"/>
  <c r="Q356" i="1"/>
  <c r="Q168" i="1"/>
  <c r="P408" i="1"/>
  <c r="P384" i="1"/>
  <c r="P341" i="1"/>
  <c r="Q291" i="1"/>
  <c r="R39" i="1"/>
  <c r="P27" i="1"/>
  <c r="P306" i="1"/>
  <c r="Q233" i="1"/>
  <c r="P368" i="1"/>
  <c r="Q256" i="1"/>
  <c r="R166" i="1"/>
  <c r="R369" i="1"/>
  <c r="Q304" i="1"/>
  <c r="R239" i="1"/>
  <c r="Q433" i="1"/>
  <c r="R477" i="1"/>
  <c r="Q285" i="1"/>
  <c r="R147" i="1"/>
  <c r="Q563" i="1"/>
  <c r="Q119" i="1"/>
  <c r="Q59" i="1"/>
  <c r="P104" i="1"/>
  <c r="R465" i="1"/>
  <c r="R140" i="1"/>
  <c r="P505" i="1"/>
  <c r="P23" i="1"/>
  <c r="P46" i="1"/>
  <c r="Q559" i="1"/>
  <c r="P530" i="1"/>
  <c r="Q484" i="1"/>
  <c r="P448" i="1"/>
  <c r="R131" i="1"/>
  <c r="R305" i="1"/>
  <c r="R492" i="1"/>
  <c r="P294" i="1"/>
  <c r="R404" i="1"/>
  <c r="P356" i="1"/>
  <c r="R476" i="1"/>
  <c r="Q517" i="1"/>
  <c r="P168" i="1"/>
  <c r="R303" i="1"/>
  <c r="R264" i="1"/>
  <c r="Q130" i="1"/>
  <c r="R498" i="1"/>
  <c r="Q165" i="1"/>
  <c r="R49" i="1"/>
  <c r="Q394" i="1"/>
  <c r="Q316" i="1"/>
  <c r="P326" i="1"/>
  <c r="P192" i="1"/>
  <c r="R152" i="1"/>
  <c r="Q514" i="1"/>
  <c r="Q474" i="1"/>
  <c r="P160" i="1"/>
  <c r="R242" i="1"/>
  <c r="P148" i="1"/>
  <c r="R491" i="1"/>
  <c r="P291" i="1"/>
  <c r="R259" i="1"/>
  <c r="Q39" i="1"/>
  <c r="P43" i="1"/>
  <c r="P288" i="1"/>
  <c r="Q377" i="1"/>
  <c r="P186" i="1"/>
  <c r="R326" i="1"/>
  <c r="Q408" i="1"/>
  <c r="Q384" i="1"/>
  <c r="P205" i="1"/>
  <c r="P245" i="1"/>
  <c r="P320" i="1"/>
  <c r="R323" i="1"/>
  <c r="R563" i="1"/>
  <c r="Q339" i="1"/>
  <c r="P111" i="1"/>
  <c r="Q23" i="1"/>
  <c r="Q530" i="1"/>
  <c r="P495" i="1"/>
  <c r="P386" i="1"/>
  <c r="P61" i="1"/>
  <c r="P268" i="1"/>
  <c r="R130" i="1"/>
  <c r="P172" i="1"/>
  <c r="R394" i="1"/>
  <c r="Q192" i="1"/>
  <c r="Q331" i="1"/>
  <c r="Q45" i="1"/>
  <c r="P313" i="1"/>
  <c r="R228" i="1"/>
  <c r="P145" i="1"/>
  <c r="Q174" i="1"/>
  <c r="Q103" i="1"/>
  <c r="Q519" i="1"/>
  <c r="Q40" i="1"/>
  <c r="Q259" i="1"/>
  <c r="R206" i="1"/>
  <c r="R70" i="1"/>
  <c r="R221" i="1"/>
  <c r="R164" i="1"/>
  <c r="P174" i="1"/>
  <c r="R468" i="1"/>
  <c r="P103" i="1"/>
  <c r="P519" i="1"/>
  <c r="P40" i="1"/>
  <c r="R395" i="1"/>
  <c r="P259" i="1"/>
  <c r="P233" i="1"/>
  <c r="R548" i="1"/>
  <c r="P256" i="1"/>
  <c r="R393" i="1"/>
  <c r="Q166" i="1"/>
  <c r="Q369" i="1"/>
  <c r="P304" i="1"/>
  <c r="Q239" i="1"/>
  <c r="Q427" i="1"/>
  <c r="R154" i="1"/>
  <c r="Q477" i="1"/>
  <c r="P285" i="1"/>
  <c r="Q147" i="1"/>
  <c r="P563" i="1"/>
  <c r="R550" i="1"/>
  <c r="R42" i="1"/>
  <c r="P119" i="1"/>
  <c r="P59" i="1"/>
  <c r="R16" i="1"/>
  <c r="R18" i="1"/>
  <c r="Q465" i="1"/>
  <c r="Q140" i="1"/>
  <c r="R334" i="1"/>
  <c r="P559" i="1"/>
  <c r="R513" i="1"/>
  <c r="P484" i="1"/>
  <c r="R485" i="1"/>
  <c r="Q131" i="1"/>
  <c r="P128" i="1"/>
  <c r="Q305" i="1"/>
  <c r="Q492" i="1"/>
  <c r="Q404" i="1"/>
  <c r="Q476" i="1"/>
  <c r="P517" i="1"/>
  <c r="R299" i="1"/>
  <c r="R251" i="1"/>
  <c r="Q303" i="1"/>
  <c r="R388" i="1"/>
  <c r="R371" i="1"/>
  <c r="P165" i="1"/>
  <c r="R314" i="1"/>
  <c r="P254" i="1"/>
  <c r="P394" i="1"/>
  <c r="P316" i="1"/>
  <c r="R134" i="1"/>
  <c r="R196" i="1"/>
  <c r="Q538" i="1"/>
  <c r="Q152" i="1"/>
  <c r="P514" i="1"/>
  <c r="R126" i="1"/>
  <c r="R266" i="1"/>
  <c r="Q491" i="1"/>
  <c r="P39" i="1"/>
  <c r="R479" i="1"/>
  <c r="P15" i="1"/>
  <c r="P45" i="1"/>
  <c r="P227" i="1"/>
  <c r="Q172" i="1"/>
  <c r="R331" i="1"/>
  <c r="P97" i="1"/>
  <c r="P231" i="1"/>
  <c r="R43" i="1"/>
  <c r="P349" i="1"/>
  <c r="S349" i="1" s="1"/>
  <c r="Q368" i="1"/>
  <c r="P511" i="1"/>
  <c r="R433" i="1"/>
  <c r="R285" i="1"/>
  <c r="R59" i="1"/>
  <c r="P155" i="1"/>
  <c r="Q46" i="1"/>
  <c r="R128" i="1"/>
  <c r="Q294" i="1"/>
  <c r="P515" i="1"/>
  <c r="R165" i="1"/>
  <c r="R316" i="1"/>
  <c r="R474" i="1"/>
  <c r="Q288" i="1"/>
  <c r="R430" i="1"/>
  <c r="Q206" i="1"/>
  <c r="Q70" i="1"/>
  <c r="Q164" i="1"/>
  <c r="Q468" i="1"/>
  <c r="R422" i="1"/>
  <c r="R272" i="1"/>
  <c r="Q395" i="1"/>
  <c r="R346" i="1"/>
  <c r="P319" i="1"/>
  <c r="P369" i="1"/>
  <c r="R120" i="1"/>
  <c r="P239" i="1"/>
  <c r="P359" i="1"/>
  <c r="P427" i="1"/>
  <c r="R453" i="1"/>
  <c r="P83" i="1"/>
  <c r="Q154" i="1"/>
  <c r="P477" i="1"/>
  <c r="P147" i="1"/>
  <c r="Q550" i="1"/>
  <c r="Q42" i="1"/>
  <c r="R162" i="1"/>
  <c r="R50" i="1"/>
  <c r="Q16" i="1"/>
  <c r="Q18" i="1"/>
  <c r="P465" i="1"/>
  <c r="P140" i="1"/>
  <c r="R445" i="1"/>
  <c r="P560" i="1"/>
  <c r="R182" i="1"/>
  <c r="Q513" i="1"/>
  <c r="Q485" i="1"/>
  <c r="P131" i="1"/>
  <c r="R302" i="1"/>
  <c r="P305" i="1"/>
  <c r="P492" i="1"/>
  <c r="Q494" i="1"/>
  <c r="Q473" i="1"/>
  <c r="R520" i="1"/>
  <c r="P404" i="1"/>
  <c r="Q283" i="1"/>
  <c r="R223" i="1"/>
  <c r="Q299" i="1"/>
  <c r="R277" i="1"/>
  <c r="Q388" i="1"/>
  <c r="R15" i="1"/>
  <c r="P498" i="1"/>
  <c r="R219" i="1"/>
  <c r="Q371" i="1"/>
  <c r="Q314" i="1"/>
  <c r="R353" i="1"/>
  <c r="Q196" i="1"/>
  <c r="Q108" i="1"/>
  <c r="R163" i="1"/>
  <c r="Q266" i="1"/>
  <c r="Q376" i="1"/>
  <c r="P491" i="1"/>
  <c r="Q44" i="1"/>
  <c r="R339" i="1"/>
  <c r="Q268" i="1"/>
  <c r="R192" i="1"/>
  <c r="R284" i="1"/>
  <c r="P206" i="1"/>
  <c r="P70" i="1"/>
  <c r="P164" i="1"/>
  <c r="P468" i="1"/>
  <c r="Q422" i="1"/>
  <c r="Q272" i="1"/>
  <c r="P395" i="1"/>
  <c r="Q533" i="1"/>
  <c r="Q117" i="1"/>
  <c r="R470" i="1"/>
  <c r="R246" i="1"/>
  <c r="Q120" i="1"/>
  <c r="R217" i="1"/>
  <c r="R34" i="1"/>
  <c r="Q284" i="1"/>
  <c r="Q453" i="1"/>
  <c r="R535" i="1"/>
  <c r="P154" i="1"/>
  <c r="R243" i="1"/>
  <c r="R241" i="1"/>
  <c r="P550" i="1"/>
  <c r="P42" i="1"/>
  <c r="Q162" i="1"/>
  <c r="Q50" i="1"/>
  <c r="P16" i="1"/>
  <c r="P18" i="1"/>
  <c r="R199" i="1"/>
  <c r="Q445" i="1"/>
  <c r="P334" i="1"/>
  <c r="R461" i="1"/>
  <c r="P552" i="1"/>
  <c r="P52" i="1"/>
  <c r="R28" i="1"/>
  <c r="Q132" i="1"/>
  <c r="P513" i="1"/>
  <c r="R510" i="1"/>
  <c r="P485" i="1"/>
  <c r="Q302" i="1"/>
  <c r="P494" i="1"/>
  <c r="P473" i="1"/>
  <c r="Q520" i="1"/>
  <c r="Q191" i="1"/>
  <c r="Q223" i="1"/>
  <c r="P299" i="1"/>
  <c r="Q277" i="1"/>
  <c r="P388" i="1"/>
  <c r="Q219" i="1"/>
  <c r="P371" i="1"/>
  <c r="Q188" i="1"/>
  <c r="P314" i="1"/>
  <c r="Q353" i="1"/>
  <c r="Q183" i="1"/>
  <c r="R167" i="1"/>
  <c r="P196" i="1"/>
  <c r="R123" i="1"/>
  <c r="P108" i="1"/>
  <c r="P136" i="1"/>
  <c r="Q418" i="1"/>
  <c r="R412" i="1"/>
  <c r="R328" i="1"/>
  <c r="P376" i="1"/>
  <c r="P3" i="1"/>
  <c r="P44" i="1"/>
  <c r="P339" i="1"/>
  <c r="R475" i="1"/>
  <c r="R168" i="1"/>
  <c r="P214" i="1"/>
  <c r="Q62" i="1"/>
  <c r="P508" i="1"/>
  <c r="R31" i="1"/>
  <c r="Q341" i="1"/>
  <c r="P379" i="1"/>
  <c r="Q145" i="1"/>
  <c r="Q27" i="1"/>
  <c r="Q306" i="1"/>
  <c r="R233" i="1"/>
  <c r="P487" i="1"/>
  <c r="P91" i="1"/>
  <c r="P124" i="1"/>
  <c r="P382" i="1"/>
  <c r="Q104" i="1"/>
  <c r="Q505" i="1"/>
  <c r="P392" i="1"/>
  <c r="R484" i="1"/>
  <c r="P292" i="1"/>
  <c r="R517" i="1"/>
  <c r="P478" i="1"/>
  <c r="Q326" i="1"/>
  <c r="Q83" i="1"/>
  <c r="Q43" i="1"/>
  <c r="P96" i="1"/>
  <c r="P315" i="1"/>
  <c r="P12" i="1"/>
  <c r="P167" i="1"/>
  <c r="P54" i="1"/>
  <c r="P362" i="1"/>
  <c r="P424" i="1"/>
  <c r="P443" i="1"/>
  <c r="P71" i="1"/>
  <c r="R32" i="1"/>
  <c r="R67" i="1"/>
  <c r="R212" i="1"/>
  <c r="R296" i="1"/>
  <c r="R421" i="1"/>
  <c r="P422" i="1"/>
  <c r="R526" i="1"/>
  <c r="P272" i="1"/>
  <c r="R204" i="1"/>
  <c r="P533" i="1"/>
  <c r="R159" i="1"/>
  <c r="P117" i="1"/>
  <c r="R237" i="1"/>
  <c r="Q470" i="1"/>
  <c r="R351" i="1"/>
  <c r="P120" i="1"/>
  <c r="Q217" i="1"/>
  <c r="Q34" i="1"/>
  <c r="P284" i="1"/>
  <c r="S284" i="1" s="1"/>
  <c r="P453" i="1"/>
  <c r="Q535" i="1"/>
  <c r="Q243" i="1"/>
  <c r="Q241" i="1"/>
  <c r="R561" i="1"/>
  <c r="P162" i="1"/>
  <c r="P50" i="1"/>
  <c r="R252" i="1"/>
  <c r="R8" i="1"/>
  <c r="R84" i="1"/>
  <c r="P445" i="1"/>
  <c r="R88" i="1"/>
  <c r="Q461" i="1"/>
  <c r="R417" i="1"/>
  <c r="R222" i="1"/>
  <c r="R516" i="1"/>
  <c r="Q28" i="1"/>
  <c r="P132" i="1"/>
  <c r="Q510" i="1"/>
  <c r="R424" i="1"/>
  <c r="P302" i="1"/>
  <c r="Q64" i="1"/>
  <c r="Q245" i="1"/>
  <c r="R551" i="1"/>
  <c r="Q54" i="1"/>
  <c r="P390" i="1"/>
  <c r="P191" i="1"/>
  <c r="R524" i="1"/>
  <c r="P223" i="1"/>
  <c r="S223" i="1" s="1"/>
  <c r="R344" i="1"/>
  <c r="Q310" i="1"/>
  <c r="Q327" i="1"/>
  <c r="Q502" i="1"/>
  <c r="R481" i="1"/>
  <c r="P219" i="1"/>
  <c r="R184" i="1"/>
  <c r="R41" i="1"/>
  <c r="Q123" i="1"/>
  <c r="P418" i="1"/>
  <c r="Q328" i="1"/>
  <c r="Q7" i="1"/>
  <c r="R232" i="1"/>
  <c r="R10" i="1"/>
  <c r="R13" i="1"/>
  <c r="P296" i="1"/>
  <c r="Q218" i="1"/>
  <c r="Q478" i="1"/>
  <c r="Q32" i="1"/>
  <c r="Q212" i="1"/>
  <c r="Q421" i="1"/>
  <c r="Q526" i="1"/>
  <c r="R483" i="1"/>
  <c r="Q159" i="1"/>
  <c r="Q237" i="1"/>
  <c r="P470" i="1"/>
  <c r="Q351" i="1"/>
  <c r="P246" i="1"/>
  <c r="R271" i="1"/>
  <c r="P217" i="1"/>
  <c r="P34" i="1"/>
  <c r="P189" i="1"/>
  <c r="S189" i="1" s="1"/>
  <c r="P535" i="1"/>
  <c r="P243" i="1"/>
  <c r="P241" i="1"/>
  <c r="Q561" i="1"/>
  <c r="R443" i="1"/>
  <c r="R248" i="1"/>
  <c r="Q252" i="1"/>
  <c r="Q8" i="1"/>
  <c r="Q84" i="1"/>
  <c r="P199" i="1"/>
  <c r="R244" i="1"/>
  <c r="Q88" i="1"/>
  <c r="Q417" i="1"/>
  <c r="Q222" i="1"/>
  <c r="Q516" i="1"/>
  <c r="P28" i="1"/>
  <c r="Q424" i="1"/>
  <c r="P64" i="1"/>
  <c r="Q551" i="1"/>
  <c r="Q276" i="1"/>
  <c r="R236" i="1"/>
  <c r="Q524" i="1"/>
  <c r="R406" i="1"/>
  <c r="Q344" i="1"/>
  <c r="P310" i="1"/>
  <c r="R350" i="1"/>
  <c r="P502" i="1"/>
  <c r="Q481" i="1"/>
  <c r="Q184" i="1"/>
  <c r="Q106" i="1"/>
  <c r="Q41" i="1"/>
  <c r="R175" i="1"/>
  <c r="R190" i="1"/>
  <c r="Q216" i="1"/>
  <c r="P541" i="1"/>
  <c r="P123" i="1"/>
  <c r="R200" i="1"/>
  <c r="Q364" i="1"/>
  <c r="R47" i="1"/>
  <c r="P195" i="1"/>
  <c r="P328" i="1"/>
  <c r="Q232" i="1"/>
  <c r="Q10" i="1"/>
  <c r="R77" i="1"/>
  <c r="R45" i="1"/>
  <c r="R2" i="1"/>
  <c r="R473" i="1"/>
  <c r="R552" i="1"/>
  <c r="R341" i="1"/>
  <c r="R494" i="1"/>
  <c r="R401" i="1"/>
  <c r="R71" i="1"/>
  <c r="R557" i="1"/>
  <c r="Q67" i="1"/>
  <c r="Q71" i="1"/>
  <c r="Q317" i="1"/>
  <c r="Q3" i="1"/>
  <c r="Q2" i="1"/>
  <c r="Q25" i="1"/>
  <c r="Q48" i="1"/>
  <c r="Q228" i="1"/>
  <c r="Q543" i="1"/>
  <c r="Q167" i="1"/>
  <c r="Q263" i="1"/>
  <c r="Q298" i="1"/>
  <c r="Q114" i="1"/>
  <c r="Q348" i="1"/>
  <c r="P32" i="1"/>
  <c r="P67" i="1"/>
  <c r="R115" i="1"/>
  <c r="P421" i="1"/>
  <c r="Q142" i="1"/>
  <c r="Q185" i="1"/>
  <c r="Q483" i="1"/>
  <c r="P159" i="1"/>
  <c r="R447" i="1"/>
  <c r="P237" i="1"/>
  <c r="R437" i="1"/>
  <c r="P351" i="1"/>
  <c r="R20" i="1"/>
  <c r="Q271" i="1"/>
  <c r="R389" i="1"/>
  <c r="R177" i="1"/>
  <c r="Q235" i="1"/>
  <c r="R265" i="1"/>
  <c r="R409" i="1"/>
  <c r="R81" i="1"/>
  <c r="R298" i="1"/>
  <c r="P561" i="1"/>
  <c r="Q443" i="1"/>
  <c r="Q125" i="1"/>
  <c r="R457" i="1"/>
  <c r="Q244" i="1"/>
  <c r="P88" i="1"/>
  <c r="R503" i="1"/>
  <c r="Q501" i="1"/>
  <c r="P417" i="1"/>
  <c r="P222" i="1"/>
  <c r="P516" i="1"/>
  <c r="R35" i="1"/>
  <c r="R413" i="1"/>
  <c r="Q89" i="1"/>
  <c r="Q500" i="1"/>
  <c r="R380" i="1"/>
  <c r="P276" i="1"/>
  <c r="Q236" i="1"/>
  <c r="P524" i="1"/>
  <c r="Q406" i="1"/>
  <c r="R429" i="1"/>
  <c r="Q345" i="1"/>
  <c r="P344" i="1"/>
  <c r="Q138" i="1"/>
  <c r="R65" i="1"/>
  <c r="R105" i="1"/>
  <c r="P481" i="1"/>
  <c r="R425" i="1"/>
  <c r="P184" i="1"/>
  <c r="P106" i="1"/>
  <c r="Q175" i="1"/>
  <c r="Q190" i="1"/>
  <c r="R534" i="1"/>
  <c r="P475" i="1"/>
  <c r="P364" i="1"/>
  <c r="Q47" i="1"/>
  <c r="R110" i="1"/>
  <c r="P253" i="1"/>
  <c r="P232" i="1"/>
  <c r="P10" i="1"/>
  <c r="S10" i="1" s="1"/>
  <c r="R111" i="1"/>
  <c r="R132" i="1"/>
  <c r="R358" i="1"/>
  <c r="Q113" i="1"/>
  <c r="Q115" i="1"/>
  <c r="R459" i="1"/>
  <c r="R343" i="1"/>
  <c r="R403" i="1"/>
  <c r="P142" i="1"/>
  <c r="R463" i="1"/>
  <c r="P201" i="1"/>
  <c r="P185" i="1"/>
  <c r="Q447" i="1"/>
  <c r="Q437" i="1"/>
  <c r="R329" i="1"/>
  <c r="Q20" i="1"/>
  <c r="P271" i="1"/>
  <c r="S271" i="1" s="1"/>
  <c r="R118" i="1"/>
  <c r="Q389" i="1"/>
  <c r="Q177" i="1"/>
  <c r="P235" i="1"/>
  <c r="R367" i="1"/>
  <c r="Q265" i="1"/>
  <c r="Q81" i="1"/>
  <c r="P442" i="1"/>
  <c r="R280" i="1"/>
  <c r="P248" i="1"/>
  <c r="R381" i="1"/>
  <c r="R397" i="1"/>
  <c r="P244" i="1"/>
  <c r="R405" i="1"/>
  <c r="Q503" i="1"/>
  <c r="P501" i="1"/>
  <c r="R63" i="1"/>
  <c r="R107" i="1"/>
  <c r="Q35" i="1"/>
  <c r="Q401" i="1"/>
  <c r="Q90" i="1"/>
  <c r="R370" i="1"/>
  <c r="P89" i="1"/>
  <c r="P500" i="1"/>
  <c r="Q380" i="1"/>
  <c r="P387" i="1"/>
  <c r="R260" i="1"/>
  <c r="R30" i="1"/>
  <c r="R547" i="1"/>
  <c r="P236" i="1"/>
  <c r="R564" i="1"/>
  <c r="P406" i="1"/>
  <c r="S406" i="1" s="1"/>
  <c r="P345" i="1"/>
  <c r="P138" i="1"/>
  <c r="Q65" i="1"/>
  <c r="Q105" i="1"/>
  <c r="Q425" i="1"/>
  <c r="R420" i="1"/>
  <c r="P486" i="1"/>
  <c r="P78" i="1"/>
  <c r="R531" i="1"/>
  <c r="Q534" i="1"/>
  <c r="Q60" i="1"/>
  <c r="P549" i="1"/>
  <c r="P47" i="1"/>
  <c r="R225" i="1"/>
  <c r="R197" i="1"/>
  <c r="Q22" i="1"/>
  <c r="P5" i="1"/>
  <c r="Q111" i="1"/>
  <c r="P510" i="1"/>
  <c r="P342" i="1"/>
  <c r="Q564" i="1"/>
  <c r="R456" i="1"/>
  <c r="P65" i="1"/>
  <c r="P105" i="1"/>
  <c r="R489" i="1"/>
  <c r="R532" i="1"/>
  <c r="R157" i="1"/>
  <c r="R87" i="1"/>
  <c r="Q531" i="1"/>
  <c r="R69" i="1"/>
  <c r="Q171" i="1"/>
  <c r="Q225" i="1"/>
  <c r="R55" i="1"/>
  <c r="Q197" i="1"/>
  <c r="P22" i="1"/>
  <c r="P169" i="1"/>
  <c r="R276" i="1"/>
  <c r="R308" i="1"/>
  <c r="Q247" i="1"/>
  <c r="P107" i="1"/>
  <c r="R414" i="1"/>
  <c r="Q360" i="1"/>
  <c r="P198" i="1"/>
  <c r="R194" i="1"/>
  <c r="R464" i="1"/>
  <c r="P531" i="1"/>
  <c r="R250" i="1"/>
  <c r="R95" i="1"/>
  <c r="P171" i="1"/>
  <c r="P209" i="1"/>
  <c r="Q112" i="1"/>
  <c r="P197" i="1"/>
  <c r="R156" i="1"/>
  <c r="P564" i="1"/>
  <c r="R183" i="1"/>
  <c r="P381" i="1"/>
  <c r="P405" i="1"/>
  <c r="R263" i="1"/>
  <c r="R208" i="1"/>
  <c r="Q255" i="1"/>
  <c r="Q556" i="1"/>
  <c r="Q456" i="1"/>
  <c r="R102" i="1"/>
  <c r="P518" i="1"/>
  <c r="R374" i="1"/>
  <c r="Q480" i="1"/>
  <c r="P458" i="1"/>
  <c r="R58" i="1"/>
  <c r="Q287" i="1"/>
  <c r="R312" i="1"/>
  <c r="R504" i="1"/>
  <c r="R309" i="1"/>
  <c r="Q441" i="1"/>
  <c r="P444" i="1"/>
  <c r="R279" i="1"/>
  <c r="Q72" i="1"/>
  <c r="R416" i="1"/>
  <c r="Q181" i="1"/>
  <c r="Q352" i="1"/>
  <c r="Q229" i="1"/>
  <c r="R523" i="1"/>
  <c r="P321" i="1"/>
  <c r="S321" i="1" s="1"/>
  <c r="Q100" i="1"/>
  <c r="P73" i="1"/>
  <c r="P247" i="1"/>
  <c r="R210" i="1"/>
  <c r="R68" i="1"/>
  <c r="Q36" i="1"/>
  <c r="R493" i="1"/>
  <c r="P273" i="1"/>
  <c r="Q363" i="1"/>
  <c r="Q482" i="1"/>
  <c r="P373" i="1"/>
  <c r="Q208" i="1"/>
  <c r="P333" i="1"/>
  <c r="R347" i="1"/>
  <c r="Q414" i="1"/>
  <c r="R86" i="1"/>
  <c r="P255" i="1"/>
  <c r="R275" i="1"/>
  <c r="P556" i="1"/>
  <c r="P360" i="1"/>
  <c r="R452" i="1"/>
  <c r="P456" i="1"/>
  <c r="Q203" i="1"/>
  <c r="Q542" i="1"/>
  <c r="P532" i="1"/>
  <c r="P157" i="1"/>
  <c r="Q464" i="1"/>
  <c r="R543" i="1"/>
  <c r="Q95" i="1"/>
  <c r="R139" i="1"/>
  <c r="P340" i="1"/>
  <c r="Q451" i="1"/>
  <c r="P55" i="1"/>
  <c r="P112" i="1"/>
  <c r="P496" i="1"/>
  <c r="Q537" i="1"/>
  <c r="R56" i="1"/>
  <c r="R482" i="1"/>
  <c r="Q432" i="1"/>
  <c r="P95" i="1"/>
  <c r="R226" i="1"/>
  <c r="R410" i="1"/>
  <c r="P372" i="1"/>
  <c r="R290" i="1"/>
  <c r="R151" i="1"/>
  <c r="Q143" i="1"/>
  <c r="R544" i="1"/>
  <c r="P397" i="1"/>
  <c r="S397" i="1" s="1"/>
  <c r="Q273" i="1"/>
  <c r="P63" i="1"/>
  <c r="P370" i="1"/>
  <c r="R338" i="1"/>
  <c r="P260" i="1"/>
  <c r="P30" i="1"/>
  <c r="P396" i="1"/>
  <c r="S396" i="1" s="1"/>
  <c r="R203" i="1"/>
  <c r="R109" i="1"/>
  <c r="R281" i="1"/>
  <c r="Q489" i="1"/>
  <c r="R542" i="1"/>
  <c r="P420" i="1"/>
  <c r="R37" i="1"/>
  <c r="Q469" i="1"/>
  <c r="Q512" i="1"/>
  <c r="R75" i="1"/>
  <c r="R454" i="1"/>
  <c r="Q37" i="1"/>
  <c r="R337" i="1"/>
  <c r="P469" i="1"/>
  <c r="R158" i="1"/>
  <c r="P436" i="1"/>
  <c r="S436" i="1" s="1"/>
  <c r="P512" i="1"/>
  <c r="Q102" i="1"/>
  <c r="Q75" i="1"/>
  <c r="Q454" i="1"/>
  <c r="Q374" i="1"/>
  <c r="P480" i="1"/>
  <c r="R282" i="1"/>
  <c r="Q58" i="1"/>
  <c r="P287" i="1"/>
  <c r="Q312" i="1"/>
  <c r="R26" i="1"/>
  <c r="Q504" i="1"/>
  <c r="Q279" i="1"/>
  <c r="P72" i="1"/>
  <c r="P446" i="1"/>
  <c r="Q416" i="1"/>
  <c r="P181" i="1"/>
  <c r="P257" i="1"/>
  <c r="P127" i="1"/>
  <c r="P352" i="1"/>
  <c r="P229" i="1"/>
  <c r="R540" i="1"/>
  <c r="Q523" i="1"/>
  <c r="P100" i="1"/>
  <c r="R144" i="1"/>
  <c r="Q210" i="1"/>
  <c r="P36" i="1"/>
  <c r="Q488" i="1"/>
  <c r="Q493" i="1"/>
  <c r="R76" i="1"/>
  <c r="R238" i="1"/>
  <c r="Q149" i="1"/>
  <c r="P263" i="1"/>
  <c r="P363" i="1"/>
  <c r="P208" i="1"/>
  <c r="Q347" i="1"/>
  <c r="P414" i="1"/>
  <c r="R366" i="1"/>
  <c r="Q86" i="1"/>
  <c r="Q275" i="1"/>
  <c r="R289" i="1"/>
  <c r="R562" i="1"/>
  <c r="R439" i="1"/>
  <c r="P361" i="1"/>
  <c r="R262" i="1"/>
  <c r="Q452" i="1"/>
  <c r="P203" i="1"/>
  <c r="P542" i="1"/>
  <c r="P194" i="1"/>
  <c r="P25" i="1"/>
  <c r="P311" i="1"/>
  <c r="R318" i="1"/>
  <c r="R240" i="1"/>
  <c r="P250" i="1"/>
  <c r="P451" i="1"/>
  <c r="P37" i="1"/>
  <c r="Q158" i="1"/>
  <c r="R258" i="1"/>
  <c r="P102" i="1"/>
  <c r="P75" i="1"/>
  <c r="P454" i="1"/>
  <c r="R355" i="1"/>
  <c r="P374" i="1"/>
  <c r="R467" i="1"/>
  <c r="Q282" i="1"/>
  <c r="P58" i="1"/>
  <c r="P309" i="1"/>
  <c r="R398" i="1"/>
  <c r="P279" i="1"/>
  <c r="R82" i="1"/>
  <c r="R220" i="1"/>
  <c r="P416" i="1"/>
  <c r="R286" i="1"/>
  <c r="R426" i="1"/>
  <c r="R57" i="1"/>
  <c r="Q144" i="1"/>
  <c r="P493" i="1"/>
  <c r="Q76" i="1"/>
  <c r="Q238" i="1"/>
  <c r="R375" i="1"/>
  <c r="R218" i="1"/>
  <c r="R528" i="1"/>
  <c r="R438" i="1"/>
  <c r="Q366" i="1"/>
  <c r="P86" i="1"/>
  <c r="R79" i="1"/>
  <c r="P378" i="1"/>
  <c r="P275" i="1"/>
  <c r="Q289" i="1"/>
  <c r="Q562" i="1"/>
  <c r="Q262" i="1"/>
  <c r="P452" i="1"/>
  <c r="R186" i="1"/>
  <c r="R214" i="1"/>
  <c r="R455" i="1"/>
  <c r="Q497" i="1"/>
  <c r="R187" i="1"/>
  <c r="R508" i="1"/>
  <c r="R202" i="1"/>
  <c r="R150" i="1"/>
  <c r="Q318" i="1"/>
  <c r="Q240" i="1"/>
  <c r="P432" i="1"/>
  <c r="Q322" i="1"/>
  <c r="R315" i="1"/>
  <c r="P488" i="1"/>
  <c r="Q161" i="1"/>
  <c r="P545" i="1"/>
  <c r="R116" i="1"/>
  <c r="R94" i="1"/>
  <c r="P375" i="1"/>
  <c r="R402" i="1"/>
  <c r="Q373" i="1"/>
  <c r="R440" i="1"/>
  <c r="R546" i="1"/>
  <c r="P520" i="1"/>
  <c r="S520" i="1" s="1"/>
  <c r="P283" i="1"/>
  <c r="P476" i="1"/>
  <c r="P377" i="1"/>
  <c r="P562" i="1"/>
  <c r="Q439" i="1"/>
  <c r="R361" i="1"/>
  <c r="Q350" i="1"/>
  <c r="Q15" i="1"/>
  <c r="P130" i="1"/>
  <c r="Q498" i="1"/>
  <c r="R399" i="1"/>
  <c r="R536" i="1"/>
  <c r="P353" i="1"/>
  <c r="P183" i="1"/>
  <c r="P534" i="1"/>
  <c r="R60" i="1"/>
  <c r="Q200" i="1"/>
  <c r="R539" i="1"/>
  <c r="Q163" i="1"/>
  <c r="P474" i="1"/>
  <c r="Q31" i="1"/>
  <c r="R92" i="1"/>
  <c r="Q139" i="1"/>
  <c r="R521" i="1"/>
  <c r="P266" i="1"/>
  <c r="Q242" i="1"/>
  <c r="R224" i="1"/>
  <c r="Q410" i="1"/>
  <c r="P225" i="1"/>
  <c r="R269" i="1"/>
  <c r="R472" i="1"/>
  <c r="Q315" i="1"/>
  <c r="Q290" i="1"/>
  <c r="R129" i="1"/>
  <c r="R6" i="1"/>
  <c r="Q13" i="1"/>
  <c r="Q540" i="1"/>
  <c r="P523" i="1"/>
  <c r="R261" i="1"/>
  <c r="R293" i="1"/>
  <c r="Q68" i="1"/>
  <c r="Q178" i="1"/>
  <c r="P461" i="1"/>
  <c r="Q116" i="1"/>
  <c r="Q94" i="1"/>
  <c r="R12" i="1"/>
  <c r="P218" i="1"/>
  <c r="R383" i="1"/>
  <c r="R169" i="1"/>
  <c r="Q402" i="1"/>
  <c r="R133" i="1"/>
  <c r="P380" i="1"/>
  <c r="Q440" i="1"/>
  <c r="Q546" i="1"/>
  <c r="P551" i="1"/>
  <c r="R387" i="1"/>
  <c r="R365" i="1"/>
  <c r="R423" i="1"/>
  <c r="R342" i="1"/>
  <c r="R122" i="1"/>
  <c r="P439" i="1"/>
  <c r="R335" i="1"/>
  <c r="P350" i="1"/>
  <c r="R450" i="1"/>
  <c r="Q399" i="1"/>
  <c r="Q536" i="1"/>
  <c r="Q358" i="1"/>
  <c r="R180" i="1"/>
  <c r="R146" i="1"/>
  <c r="Q134" i="1"/>
  <c r="P200" i="1"/>
  <c r="Q539" i="1"/>
  <c r="P163" i="1"/>
  <c r="R525" i="1"/>
  <c r="R558" i="1"/>
  <c r="P31" i="1"/>
  <c r="P139" i="1"/>
  <c r="Q521" i="1"/>
  <c r="R490" i="1"/>
  <c r="P242" i="1"/>
  <c r="Q224" i="1"/>
  <c r="P410" i="1"/>
  <c r="R419" i="1"/>
  <c r="R230" i="1"/>
  <c r="Q269" i="1"/>
  <c r="Q472" i="1"/>
  <c r="Q56" i="1"/>
  <c r="P348" i="1"/>
  <c r="Q129" i="1"/>
  <c r="Q6" i="1"/>
  <c r="R29" i="1"/>
  <c r="P13" i="1"/>
  <c r="Q24" i="1"/>
  <c r="R101" i="1"/>
  <c r="Q296" i="1"/>
  <c r="R142" i="1"/>
  <c r="Q204" i="1"/>
  <c r="Q346" i="1"/>
  <c r="Q548" i="1"/>
  <c r="R117" i="1"/>
  <c r="P166" i="1"/>
  <c r="R359" i="1"/>
  <c r="Q323" i="1"/>
  <c r="Q57" i="1"/>
  <c r="P540" i="1"/>
  <c r="Q261" i="1"/>
  <c r="Q293" i="1"/>
  <c r="P210" i="1"/>
  <c r="P68" i="1"/>
  <c r="P178" i="1"/>
  <c r="Q182" i="1"/>
  <c r="P116" i="1"/>
  <c r="P94" i="1"/>
  <c r="Q12" i="1"/>
  <c r="Q383" i="1"/>
  <c r="R527" i="1"/>
  <c r="Q169" i="1"/>
  <c r="P402" i="1"/>
  <c r="Q133" i="1"/>
  <c r="P440" i="1"/>
  <c r="P546" i="1"/>
  <c r="Q387" i="1"/>
  <c r="Q365" i="1"/>
  <c r="Q423" i="1"/>
  <c r="Q342" i="1"/>
  <c r="Q122" i="1"/>
  <c r="R336" i="1"/>
  <c r="R98" i="1"/>
  <c r="R85" i="1"/>
  <c r="R391" i="1"/>
  <c r="Q450" i="1"/>
  <c r="R327" i="1"/>
  <c r="R93" i="1"/>
  <c r="R434" i="1"/>
  <c r="P399" i="1"/>
  <c r="R362" i="1"/>
  <c r="P536" i="1"/>
  <c r="P358" i="1"/>
  <c r="Q180" i="1"/>
  <c r="R38" i="1"/>
  <c r="Q146" i="1"/>
  <c r="P134" i="1"/>
  <c r="R80" i="1"/>
  <c r="P60" i="1"/>
  <c r="R357" i="1"/>
  <c r="P539" i="1"/>
  <c r="Q525" i="1"/>
  <c r="Q558" i="1"/>
  <c r="P92" i="1"/>
  <c r="P521" i="1"/>
  <c r="R340" i="1"/>
  <c r="Q490" i="1"/>
  <c r="P224" i="1"/>
  <c r="Q419" i="1"/>
  <c r="R407" i="1"/>
  <c r="R295" i="1"/>
  <c r="R428" i="1"/>
  <c r="P269" i="1"/>
  <c r="R66" i="1"/>
  <c r="R297" i="1"/>
  <c r="R53" i="1"/>
  <c r="P557" i="1"/>
  <c r="P129" i="1"/>
  <c r="P6" i="1"/>
  <c r="Q29" i="1"/>
  <c r="Q335" i="1"/>
  <c r="P212" i="1"/>
  <c r="R201" i="1"/>
  <c r="R427" i="1"/>
  <c r="R382" i="1"/>
  <c r="R400" i="1"/>
  <c r="Q337" i="1"/>
  <c r="P24" i="1"/>
  <c r="Q101" i="1"/>
  <c r="P526" i="1"/>
  <c r="Q201" i="1"/>
  <c r="P204" i="1"/>
  <c r="R185" i="1"/>
  <c r="P346" i="1"/>
  <c r="P548" i="1"/>
  <c r="P393" i="1"/>
  <c r="Q359" i="1"/>
  <c r="P323" i="1"/>
  <c r="P433" i="1"/>
  <c r="R83" i="1"/>
  <c r="P193" i="1"/>
  <c r="Q382" i="1"/>
  <c r="P57" i="1"/>
  <c r="R537" i="1"/>
  <c r="P261" i="1"/>
  <c r="P293" i="1"/>
  <c r="R462" i="1"/>
  <c r="R36" i="1"/>
  <c r="P182" i="1"/>
  <c r="R52" i="1"/>
  <c r="P383" i="1"/>
  <c r="Q151" i="1"/>
  <c r="P133" i="1"/>
  <c r="Q338" i="1"/>
  <c r="R333" i="1"/>
  <c r="Q479" i="1"/>
  <c r="P365" i="1"/>
  <c r="P423" i="1"/>
  <c r="R390" i="1"/>
  <c r="P122" i="1"/>
  <c r="Q336" i="1"/>
  <c r="Q98" i="1"/>
  <c r="Q85" i="1"/>
  <c r="Q391" i="1"/>
  <c r="P335" i="1"/>
  <c r="P450" i="1"/>
  <c r="Q93" i="1"/>
  <c r="Q434" i="1"/>
  <c r="Q362" i="1"/>
  <c r="P180" i="1"/>
  <c r="R198" i="1"/>
  <c r="Q38" i="1"/>
  <c r="R78" i="1"/>
  <c r="P146" i="1"/>
  <c r="Q80" i="1"/>
  <c r="R25" i="1"/>
  <c r="R311" i="1"/>
  <c r="Q357" i="1"/>
  <c r="R19" i="1"/>
  <c r="P525" i="1"/>
  <c r="P558" i="1"/>
  <c r="R170" i="1"/>
  <c r="R385" i="1"/>
  <c r="Q340" i="1"/>
  <c r="P490" i="1"/>
  <c r="P419" i="1"/>
  <c r="Q407" i="1"/>
  <c r="Q295" i="1"/>
  <c r="P308" i="1"/>
  <c r="P230" i="1"/>
  <c r="R114" i="1"/>
  <c r="R4" i="1"/>
  <c r="R529" i="1"/>
  <c r="R104" i="1"/>
  <c r="Q462" i="1"/>
  <c r="Q52" i="1"/>
  <c r="R559" i="1"/>
  <c r="R530" i="1"/>
  <c r="P527" i="1"/>
  <c r="R448" i="1"/>
  <c r="R495" i="1"/>
  <c r="P151" i="1"/>
  <c r="P338" i="1"/>
  <c r="Q333" i="1"/>
  <c r="P479" i="1"/>
  <c r="Q390" i="1"/>
  <c r="R191" i="1"/>
  <c r="P336" i="1"/>
  <c r="P98" i="1"/>
  <c r="P85" i="1"/>
  <c r="P391" i="1"/>
  <c r="R360" i="1"/>
  <c r="R138" i="1"/>
  <c r="P327" i="1"/>
  <c r="R502" i="1"/>
  <c r="P93" i="1"/>
  <c r="P434" i="1"/>
  <c r="Q198" i="1"/>
  <c r="P38" i="1"/>
  <c r="Q78" i="1"/>
  <c r="P80" i="1"/>
  <c r="P543" i="1"/>
  <c r="Q311" i="1"/>
  <c r="P357" i="1"/>
  <c r="Q69" i="1"/>
  <c r="Q19" i="1"/>
  <c r="R549" i="1"/>
  <c r="R136" i="1"/>
  <c r="Q170" i="1"/>
  <c r="Q385" i="1"/>
  <c r="R211" i="1"/>
  <c r="R506" i="1"/>
  <c r="P407" i="1"/>
  <c r="P295" i="1"/>
  <c r="P428" i="1"/>
  <c r="Q544" i="1"/>
  <c r="R466" i="1"/>
  <c r="Q4" i="1"/>
  <c r="R471" i="1"/>
  <c r="R54" i="1"/>
  <c r="P69" i="1"/>
  <c r="P19" i="1"/>
  <c r="Q549" i="1"/>
  <c r="Q475" i="1"/>
  <c r="Q136" i="1"/>
  <c r="P170" i="1"/>
  <c r="P385" i="1"/>
  <c r="Q211" i="1"/>
  <c r="R274" i="1"/>
  <c r="P544" i="1"/>
  <c r="Q466" i="1"/>
  <c r="P4" i="1"/>
  <c r="Q471" i="1"/>
  <c r="P529" i="1"/>
  <c r="R14" i="1"/>
  <c r="P211" i="1"/>
  <c r="Q209" i="1"/>
  <c r="Q195" i="1"/>
  <c r="P506" i="1"/>
  <c r="Q148" i="1"/>
  <c r="R324" i="1"/>
  <c r="Q121" i="1"/>
  <c r="Q274" i="1"/>
  <c r="R74" i="1"/>
  <c r="R545" i="1"/>
  <c r="P466" i="1"/>
  <c r="R9" i="1"/>
  <c r="Q14" i="1"/>
  <c r="P41" i="1"/>
  <c r="Q33" i="1"/>
  <c r="R411" i="1"/>
  <c r="R179" i="1"/>
  <c r="Q324" i="1"/>
  <c r="P121" i="1"/>
  <c r="P274" i="1"/>
  <c r="Q74" i="1"/>
  <c r="Q545" i="1"/>
  <c r="Q9" i="1"/>
  <c r="R449" i="1"/>
  <c r="P14" i="1"/>
  <c r="Q552" i="1"/>
  <c r="P482" i="1"/>
  <c r="P62" i="1"/>
  <c r="R51" i="1"/>
  <c r="R435" i="1"/>
  <c r="Q194" i="1"/>
  <c r="Q532" i="1"/>
  <c r="Q157" i="1"/>
  <c r="P175" i="1"/>
  <c r="P190" i="1"/>
  <c r="R216" i="1"/>
  <c r="R538" i="1"/>
  <c r="P202" i="1"/>
  <c r="P150" i="1"/>
  <c r="Q250" i="1"/>
  <c r="R213" i="1"/>
  <c r="R135" i="1"/>
  <c r="Q226" i="1"/>
  <c r="R325" i="1"/>
  <c r="Q412" i="1"/>
  <c r="R415" i="1"/>
  <c r="R354" i="1"/>
  <c r="R313" i="1"/>
  <c r="Q411" i="1"/>
  <c r="R372" i="1"/>
  <c r="Q179" i="1"/>
  <c r="P324" i="1"/>
  <c r="R278" i="1"/>
  <c r="P74" i="1"/>
  <c r="R11" i="1"/>
  <c r="P9" i="1"/>
  <c r="Q449" i="1"/>
  <c r="Q213" i="1"/>
  <c r="Q135" i="1"/>
  <c r="Q126" i="1"/>
  <c r="R33" i="1"/>
  <c r="P226" i="1"/>
  <c r="R137" i="1"/>
  <c r="Q325" i="1"/>
  <c r="P412" i="1"/>
  <c r="Q415" i="1"/>
  <c r="Q354" i="1"/>
  <c r="R99" i="1"/>
  <c r="Q313" i="1"/>
  <c r="R460" i="1"/>
  <c r="P411" i="1"/>
  <c r="Q372" i="1"/>
  <c r="P179" i="1"/>
  <c r="R300" i="1"/>
  <c r="Q278" i="1"/>
  <c r="R207" i="1"/>
  <c r="R7" i="1"/>
  <c r="Q11" i="1"/>
  <c r="P449" i="1"/>
  <c r="P400" i="1"/>
  <c r="R501" i="1"/>
  <c r="P188" i="1"/>
  <c r="Q49" i="1"/>
  <c r="P51" i="1"/>
  <c r="P435" i="1"/>
  <c r="R17" i="1"/>
  <c r="R431" i="1"/>
  <c r="Q87" i="1"/>
  <c r="P216" i="1"/>
  <c r="P538" i="1"/>
  <c r="R288" i="1"/>
  <c r="P331" i="1"/>
  <c r="R432" i="1"/>
  <c r="P213" i="1"/>
  <c r="R509" i="1"/>
  <c r="P135" i="1"/>
  <c r="P126" i="1"/>
  <c r="Q137" i="1"/>
  <c r="P325" i="1"/>
  <c r="P415" i="1"/>
  <c r="P354" i="1"/>
  <c r="Q99" i="1"/>
  <c r="Q460" i="1"/>
  <c r="Q300" i="1"/>
  <c r="P278" i="1"/>
  <c r="Q207" i="1"/>
  <c r="P11" i="1"/>
  <c r="R307" i="1"/>
  <c r="Q393" i="1"/>
  <c r="Q527" i="1"/>
  <c r="Q361" i="1"/>
  <c r="R378" i="1"/>
  <c r="P277" i="1"/>
  <c r="P303" i="1"/>
  <c r="Q267" i="1"/>
  <c r="R227" i="1"/>
  <c r="Q109" i="1"/>
  <c r="P489" i="1"/>
  <c r="P425" i="1"/>
  <c r="R486" i="1"/>
  <c r="P49" i="1"/>
  <c r="R254" i="1"/>
  <c r="Q17" i="1"/>
  <c r="P87" i="1"/>
  <c r="R541" i="1"/>
  <c r="R97" i="1"/>
  <c r="Q509" i="1"/>
  <c r="P33" i="1"/>
  <c r="R160" i="1"/>
  <c r="P137" i="1"/>
  <c r="Q110" i="1"/>
  <c r="R253" i="1"/>
  <c r="P99" i="1"/>
  <c r="P460" i="1"/>
  <c r="R379" i="1"/>
  <c r="R231" i="1"/>
  <c r="R176" i="1"/>
  <c r="P300" i="1"/>
  <c r="P207" i="1"/>
  <c r="P7" i="1"/>
  <c r="R21" i="1"/>
  <c r="Q307" i="1"/>
  <c r="P317" i="1"/>
  <c r="R61" i="1"/>
  <c r="P547" i="1"/>
  <c r="Q215" i="1"/>
  <c r="Q429" i="1"/>
  <c r="Q251" i="1"/>
  <c r="Q264" i="1"/>
  <c r="Q234" i="1"/>
  <c r="Q281" i="1"/>
  <c r="Q431" i="1"/>
  <c r="P221" i="1"/>
  <c r="P153" i="1"/>
  <c r="R103" i="1"/>
  <c r="R519" i="1"/>
  <c r="R40" i="1"/>
  <c r="P312" i="1"/>
  <c r="Q26" i="1"/>
  <c r="P504" i="1"/>
  <c r="Q309" i="1"/>
  <c r="P441" i="1"/>
  <c r="S441" i="1" s="1"/>
  <c r="Q446" i="1"/>
  <c r="P330" i="1"/>
  <c r="Q409" i="1"/>
  <c r="Q457" i="1"/>
  <c r="Q248" i="1"/>
  <c r="P252" i="1"/>
  <c r="S252" i="1" s="1"/>
  <c r="P8" i="1"/>
  <c r="P84" i="1"/>
  <c r="Q199" i="1"/>
  <c r="Q334" i="1"/>
  <c r="R560" i="1"/>
  <c r="R392" i="1"/>
  <c r="R149" i="1"/>
  <c r="R363" i="1"/>
  <c r="Q413" i="1"/>
  <c r="R90" i="1"/>
  <c r="R89" i="1"/>
  <c r="R500" i="1"/>
  <c r="R64" i="1"/>
  <c r="P554" i="1"/>
  <c r="S554" i="1" s="1"/>
  <c r="Q61" i="1"/>
  <c r="Q79" i="1"/>
  <c r="Q378" i="1"/>
  <c r="P215" i="1"/>
  <c r="R556" i="1"/>
  <c r="P429" i="1"/>
  <c r="R345" i="1"/>
  <c r="P251" i="1"/>
  <c r="R310" i="1"/>
  <c r="P264" i="1"/>
  <c r="P267" i="1"/>
  <c r="P234" i="1"/>
  <c r="Q227" i="1"/>
  <c r="Q186" i="1"/>
  <c r="P109" i="1"/>
  <c r="S109" i="1" s="1"/>
  <c r="R497" i="1"/>
  <c r="Q420" i="1"/>
  <c r="Q486" i="1"/>
  <c r="R106" i="1"/>
  <c r="Q254" i="1"/>
  <c r="P187" i="1"/>
  <c r="P17" i="1"/>
  <c r="P431" i="1"/>
  <c r="P464" i="1"/>
  <c r="R143" i="1"/>
  <c r="Q541" i="1"/>
  <c r="P152" i="1"/>
  <c r="R108" i="1"/>
  <c r="R514" i="1"/>
  <c r="Q97" i="1"/>
  <c r="R322" i="1"/>
  <c r="P509" i="1"/>
  <c r="R171" i="1"/>
  <c r="R364" i="1"/>
  <c r="R418" i="1"/>
  <c r="Q160" i="1"/>
  <c r="R384" i="1"/>
  <c r="R451" i="1"/>
  <c r="P110" i="1"/>
  <c r="Q253" i="1"/>
  <c r="R376" i="1"/>
  <c r="R291" i="1"/>
  <c r="Q379" i="1"/>
  <c r="Q231" i="1"/>
  <c r="Q176" i="1"/>
  <c r="R205" i="1"/>
  <c r="Q55" i="1"/>
  <c r="R112" i="1"/>
  <c r="R22" i="1"/>
  <c r="Q21" i="1"/>
  <c r="P307" i="1"/>
  <c r="R44" i="1"/>
  <c r="Q428" i="1"/>
  <c r="Q308" i="1"/>
  <c r="Q230" i="1"/>
  <c r="P472" i="1"/>
  <c r="P228" i="1"/>
  <c r="P290" i="1"/>
  <c r="P21" i="1"/>
  <c r="R48" i="1"/>
  <c r="R209" i="1"/>
  <c r="R195" i="1"/>
  <c r="Q506" i="1"/>
  <c r="R148" i="1"/>
  <c r="R301" i="1"/>
  <c r="R332" i="1"/>
  <c r="R270" i="1"/>
  <c r="R173" i="1"/>
  <c r="R507" i="1"/>
  <c r="Q66" i="1"/>
  <c r="Q297" i="1"/>
  <c r="Q53" i="1"/>
  <c r="P56" i="1"/>
  <c r="Q301" i="1"/>
  <c r="Q332" i="1"/>
  <c r="R317" i="1"/>
  <c r="Q270" i="1"/>
  <c r="Q173" i="1"/>
  <c r="Q507" i="1"/>
  <c r="P114" i="1"/>
  <c r="P66" i="1"/>
  <c r="P297" i="1"/>
  <c r="P53" i="1"/>
  <c r="R348" i="1"/>
  <c r="R5" i="1"/>
  <c r="P48" i="1"/>
  <c r="P2" i="1"/>
  <c r="P301" i="1"/>
  <c r="P332" i="1"/>
  <c r="P270" i="1"/>
  <c r="P173" i="1"/>
  <c r="P507" i="1"/>
  <c r="R121" i="1"/>
  <c r="Q557" i="1"/>
  <c r="Q5" i="1"/>
  <c r="R3" i="1"/>
  <c r="P471" i="1"/>
  <c r="Q529" i="1"/>
  <c r="P29" i="1"/>
  <c r="R141" i="1"/>
  <c r="Q141" i="1"/>
  <c r="P141" i="1"/>
  <c r="S69" i="1" l="1"/>
  <c r="S19" i="1"/>
  <c r="S290" i="1"/>
  <c r="S487" i="1"/>
  <c r="S203" i="1"/>
  <c r="S328" i="1"/>
  <c r="M575" i="1"/>
  <c r="S511" i="1"/>
  <c r="S330" i="1"/>
  <c r="S472" i="1"/>
  <c r="S464" i="1"/>
  <c r="S41" i="1"/>
  <c r="S493" i="1"/>
  <c r="S377" i="1"/>
  <c r="S110" i="1"/>
  <c r="S247" i="1"/>
  <c r="S296" i="1"/>
  <c r="S73" i="1"/>
  <c r="S283" i="1"/>
  <c r="S279" i="1"/>
  <c r="S229" i="1"/>
  <c r="S34" i="1"/>
  <c r="S154" i="1"/>
  <c r="S70" i="1"/>
  <c r="N569" i="1"/>
  <c r="N571" i="1" s="1"/>
  <c r="S164" i="1"/>
  <c r="S352" i="1"/>
  <c r="S47" i="1"/>
  <c r="S217" i="1"/>
  <c r="S320" i="1"/>
  <c r="S462" i="1"/>
  <c r="S460" i="1"/>
  <c r="S476" i="1"/>
  <c r="S208" i="1"/>
  <c r="S285" i="1"/>
  <c r="S175" i="1"/>
  <c r="S198" i="1"/>
  <c r="S394" i="1"/>
  <c r="S152" i="1"/>
  <c r="S68" i="1"/>
  <c r="S388" i="1"/>
  <c r="S210" i="1"/>
  <c r="S31" i="1"/>
  <c r="S50" i="1"/>
  <c r="S375" i="1"/>
  <c r="S381" i="1"/>
  <c r="S45" i="1"/>
  <c r="S226" i="1"/>
  <c r="S96" i="1"/>
  <c r="S421" i="1"/>
  <c r="S62" i="1"/>
  <c r="S433" i="1"/>
  <c r="S75" i="1"/>
  <c r="S422" i="1"/>
  <c r="S16" i="1"/>
  <c r="S212" i="1"/>
  <c r="S551" i="1"/>
  <c r="S67" i="1"/>
  <c r="S133" i="1"/>
  <c r="S458" i="1"/>
  <c r="S529" i="1"/>
  <c r="S263" i="1"/>
  <c r="S23" i="1"/>
  <c r="O569" i="1"/>
  <c r="O571" i="1" s="1"/>
  <c r="N574" i="1"/>
  <c r="S123" i="1"/>
  <c r="S301" i="1"/>
  <c r="S49" i="1"/>
  <c r="S331" i="1"/>
  <c r="S527" i="1"/>
  <c r="S323" i="1"/>
  <c r="S13" i="1"/>
  <c r="S139" i="1"/>
  <c r="S350" i="1"/>
  <c r="S454" i="1"/>
  <c r="S28" i="1"/>
  <c r="S132" i="1"/>
  <c r="S314" i="1"/>
  <c r="S227" i="1"/>
  <c r="S530" i="1"/>
  <c r="S366" i="1"/>
  <c r="S503" i="1"/>
  <c r="S11" i="1"/>
  <c r="S48" i="1"/>
  <c r="S99" i="1"/>
  <c r="S538" i="1"/>
  <c r="S536" i="1"/>
  <c r="S534" i="1"/>
  <c r="S102" i="1"/>
  <c r="S363" i="1"/>
  <c r="S255" i="1"/>
  <c r="S453" i="1"/>
  <c r="S52" i="1"/>
  <c r="S206" i="1"/>
  <c r="S15" i="1"/>
  <c r="S103" i="1"/>
  <c r="S313" i="1"/>
  <c r="S211" i="1"/>
  <c r="S548" i="1"/>
  <c r="S439" i="1"/>
  <c r="S236" i="1"/>
  <c r="S552" i="1"/>
  <c r="S148" i="1"/>
  <c r="S522" i="1"/>
  <c r="M570" i="1"/>
  <c r="S216" i="1"/>
  <c r="S391" i="1"/>
  <c r="S182" i="1"/>
  <c r="S399" i="1"/>
  <c r="S440" i="1"/>
  <c r="S163" i="1"/>
  <c r="S378" i="1"/>
  <c r="S197" i="1"/>
  <c r="S244" i="1"/>
  <c r="S39" i="1"/>
  <c r="S505" i="1"/>
  <c r="S90" i="1"/>
  <c r="S77" i="1"/>
  <c r="S420" i="1"/>
  <c r="S501" i="1"/>
  <c r="S267" i="1"/>
  <c r="S4" i="1"/>
  <c r="S85" i="1"/>
  <c r="S92" i="1"/>
  <c r="S416" i="1"/>
  <c r="S361" i="1"/>
  <c r="S512" i="1"/>
  <c r="S32" i="1"/>
  <c r="S246" i="1"/>
  <c r="S191" i="1"/>
  <c r="S334" i="1"/>
  <c r="S245" i="1"/>
  <c r="S160" i="1"/>
  <c r="S368" i="1"/>
  <c r="S220" i="1"/>
  <c r="S79" i="1"/>
  <c r="S556" i="1"/>
  <c r="S40" i="1"/>
  <c r="S98" i="1"/>
  <c r="S402" i="1"/>
  <c r="S333" i="1"/>
  <c r="S199" i="1"/>
  <c r="S120" i="1"/>
  <c r="S299" i="1"/>
  <c r="S205" i="1"/>
  <c r="O574" i="1"/>
  <c r="O575" i="1"/>
  <c r="S55" i="1"/>
  <c r="S345" i="1"/>
  <c r="S224" i="1"/>
  <c r="S519" i="1"/>
  <c r="S482" i="1"/>
  <c r="S336" i="1"/>
  <c r="S204" i="1"/>
  <c r="S250" i="1"/>
  <c r="S72" i="1"/>
  <c r="S470" i="1"/>
  <c r="S390" i="1"/>
  <c r="S171" i="1"/>
  <c r="S78" i="1"/>
  <c r="S443" i="1"/>
  <c r="S18" i="1"/>
  <c r="S455" i="1"/>
  <c r="S424" i="1"/>
  <c r="S569" i="1"/>
  <c r="S570" i="1" s="1"/>
  <c r="N575" i="1"/>
  <c r="S533" i="1"/>
  <c r="S575" i="1"/>
  <c r="S574" i="1"/>
  <c r="S506" i="1"/>
  <c r="S492" i="1"/>
  <c r="S316" i="1"/>
  <c r="S274" i="1"/>
  <c r="S141" i="1"/>
  <c r="S332" i="1"/>
  <c r="S56" i="1"/>
  <c r="S190" i="1"/>
  <c r="S121" i="1"/>
  <c r="S93" i="1"/>
  <c r="S488" i="1"/>
  <c r="S542" i="1"/>
  <c r="S138" i="1"/>
  <c r="S184" i="1"/>
  <c r="S561" i="1"/>
  <c r="S535" i="1"/>
  <c r="S272" i="1"/>
  <c r="S91" i="1"/>
  <c r="S44" i="1"/>
  <c r="S513" i="1"/>
  <c r="S468" i="1"/>
  <c r="S305" i="1"/>
  <c r="S563" i="1"/>
  <c r="S111" i="1"/>
  <c r="S408" i="1"/>
  <c r="S176" i="1"/>
  <c r="S149" i="1"/>
  <c r="S537" i="1"/>
  <c r="S254" i="1"/>
  <c r="S2" i="1"/>
  <c r="S553" i="1"/>
  <c r="S278" i="1"/>
  <c r="S540" i="1"/>
  <c r="S183" i="1"/>
  <c r="S147" i="1"/>
  <c r="S346" i="1"/>
  <c r="S372" i="1"/>
  <c r="S228" i="1"/>
  <c r="S347" i="1"/>
  <c r="S371" i="1"/>
  <c r="S432" i="1"/>
  <c r="S257" i="1"/>
  <c r="S498" i="1"/>
  <c r="S165" i="1"/>
  <c r="S280" i="1"/>
  <c r="S265" i="1"/>
  <c r="S105" i="1"/>
  <c r="S232" i="1"/>
  <c r="S195" i="1"/>
  <c r="S480" i="1"/>
  <c r="S564" i="1"/>
  <c r="S502" i="1"/>
  <c r="S484" i="1"/>
  <c r="S555" i="1"/>
  <c r="S264" i="1"/>
  <c r="S181" i="1"/>
  <c r="S516" i="1"/>
  <c r="S329" i="1"/>
  <c r="S3" i="1"/>
  <c r="S262" i="1"/>
  <c r="S234" i="1"/>
  <c r="S450" i="1"/>
  <c r="S127" i="1"/>
  <c r="S46" i="1"/>
  <c r="S291" i="1"/>
  <c r="S376" i="1"/>
  <c r="S383" i="1"/>
  <c r="S113" i="1"/>
  <c r="S29" i="1"/>
  <c r="S558" i="1"/>
  <c r="S327" i="1"/>
  <c r="S358" i="1"/>
  <c r="S528" i="1"/>
  <c r="S340" i="1"/>
  <c r="S549" i="1"/>
  <c r="S425" i="1"/>
  <c r="S335" i="1"/>
  <c r="S546" i="1"/>
  <c r="S225" i="1"/>
  <c r="S310" i="1"/>
  <c r="S477" i="1"/>
  <c r="S218" i="1"/>
  <c r="S481" i="1"/>
  <c r="S393" i="1"/>
  <c r="S131" i="1"/>
  <c r="S275" i="1"/>
  <c r="S179" i="1"/>
  <c r="S525" i="1"/>
  <c r="S521" i="1"/>
  <c r="S348" i="1"/>
  <c r="S353" i="1"/>
  <c r="S107" i="1"/>
  <c r="S155" i="1"/>
  <c r="S174" i="1"/>
  <c r="S76" i="1"/>
  <c r="S471" i="1"/>
  <c r="S137" i="1"/>
  <c r="S559" i="1"/>
  <c r="S282" i="1"/>
  <c r="S417" i="1"/>
  <c r="S83" i="1"/>
  <c r="S82" i="1"/>
  <c r="S435" i="1"/>
  <c r="S466" i="1"/>
  <c r="S518" i="1"/>
  <c r="S248" i="1"/>
  <c r="S418" i="1"/>
  <c r="S415" i="1"/>
  <c r="S560" i="1"/>
  <c r="S268" i="1"/>
  <c r="S467" i="1"/>
  <c r="S318" i="1"/>
  <c r="S428" i="1"/>
  <c r="S30" i="1"/>
  <c r="S510" i="1"/>
  <c r="S541" i="1"/>
  <c r="S517" i="1"/>
  <c r="S61" i="1"/>
  <c r="S118" i="1"/>
  <c r="S463" i="1"/>
  <c r="S188" i="1"/>
  <c r="S295" i="1"/>
  <c r="S80" i="1"/>
  <c r="S479" i="1"/>
  <c r="S308" i="1"/>
  <c r="S146" i="1"/>
  <c r="S423" i="1"/>
  <c r="S410" i="1"/>
  <c r="S523" i="1"/>
  <c r="S309" i="1"/>
  <c r="S36" i="1"/>
  <c r="S260" i="1"/>
  <c r="S89" i="1"/>
  <c r="S142" i="1"/>
  <c r="S88" i="1"/>
  <c r="S362" i="1"/>
  <c r="S392" i="1"/>
  <c r="S473" i="1"/>
  <c r="S404" i="1"/>
  <c r="S140" i="1"/>
  <c r="S359" i="1"/>
  <c r="S256" i="1"/>
  <c r="S386" i="1"/>
  <c r="S186" i="1"/>
  <c r="S326" i="1"/>
  <c r="S294" i="1"/>
  <c r="S161" i="1"/>
  <c r="S447" i="1"/>
  <c r="S20" i="1"/>
  <c r="S457" i="1"/>
  <c r="S398" i="1"/>
  <c r="S81" i="1"/>
  <c r="S249" i="1"/>
  <c r="S461" i="1"/>
  <c r="S37" i="1"/>
  <c r="S253" i="1"/>
  <c r="S251" i="1"/>
  <c r="S6" i="1"/>
  <c r="S478" i="1"/>
  <c r="S129" i="1"/>
  <c r="S445" i="1"/>
  <c r="S317" i="1"/>
  <c r="S544" i="1"/>
  <c r="S266" i="1"/>
  <c r="S373" i="1"/>
  <c r="S169" i="1"/>
  <c r="S292" i="1"/>
  <c r="S429" i="1"/>
  <c r="S261" i="1"/>
  <c r="S486" i="1"/>
  <c r="S475" i="1"/>
  <c r="S192" i="1"/>
  <c r="S509" i="1"/>
  <c r="S215" i="1"/>
  <c r="S7" i="1"/>
  <c r="S277" i="1"/>
  <c r="S126" i="1"/>
  <c r="S74" i="1"/>
  <c r="S150" i="1"/>
  <c r="S407" i="1"/>
  <c r="S365" i="1"/>
  <c r="S57" i="1"/>
  <c r="S24" i="1"/>
  <c r="S60" i="1"/>
  <c r="S94" i="1"/>
  <c r="S58" i="1"/>
  <c r="S311" i="1"/>
  <c r="S456" i="1"/>
  <c r="S273" i="1"/>
  <c r="S237" i="1"/>
  <c r="S117" i="1"/>
  <c r="S54" i="1"/>
  <c r="S214" i="1"/>
  <c r="S494" i="1"/>
  <c r="S465" i="1"/>
  <c r="S239" i="1"/>
  <c r="S59" i="1"/>
  <c r="S403" i="1"/>
  <c r="S322" i="1"/>
  <c r="S240" i="1"/>
  <c r="S65" i="1"/>
  <c r="S222" i="1"/>
  <c r="S367" i="1"/>
  <c r="S297" i="1"/>
  <c r="S504" i="1"/>
  <c r="S172" i="1"/>
  <c r="S166" i="1"/>
  <c r="S95" i="1"/>
  <c r="S312" i="1"/>
  <c r="S51" i="1"/>
  <c r="S557" i="1"/>
  <c r="S364" i="1"/>
  <c r="S356" i="1"/>
  <c r="S177" i="1"/>
  <c r="S26" i="1"/>
  <c r="S303" i="1"/>
  <c r="S14" i="1"/>
  <c r="S543" i="1"/>
  <c r="S539" i="1"/>
  <c r="S22" i="1"/>
  <c r="S442" i="1"/>
  <c r="S351" i="1"/>
  <c r="S491" i="1"/>
  <c r="S27" i="1"/>
  <c r="S389" i="1"/>
  <c r="S507" i="1"/>
  <c r="S173" i="1"/>
  <c r="S84" i="1"/>
  <c r="S207" i="1"/>
  <c r="S87" i="1"/>
  <c r="S135" i="1"/>
  <c r="S400" i="1"/>
  <c r="S412" i="1"/>
  <c r="S202" i="1"/>
  <c r="S385" i="1"/>
  <c r="S38" i="1"/>
  <c r="S338" i="1"/>
  <c r="S269" i="1"/>
  <c r="S116" i="1"/>
  <c r="S242" i="1"/>
  <c r="S380" i="1"/>
  <c r="S370" i="1"/>
  <c r="S496" i="1"/>
  <c r="S5" i="1"/>
  <c r="S276" i="1"/>
  <c r="S219" i="1"/>
  <c r="S302" i="1"/>
  <c r="S162" i="1"/>
  <c r="S167" i="1"/>
  <c r="S196" i="1"/>
  <c r="S395" i="1"/>
  <c r="S231" i="1"/>
  <c r="S119" i="1"/>
  <c r="S233" i="1"/>
  <c r="S495" i="1"/>
  <c r="S288" i="1"/>
  <c r="S341" i="1"/>
  <c r="S156" i="1"/>
  <c r="S343" i="1"/>
  <c r="S497" i="1"/>
  <c r="S483" i="1"/>
  <c r="S409" i="1"/>
  <c r="S451" i="1"/>
  <c r="S379" i="1"/>
  <c r="S304" i="1"/>
  <c r="S286" i="1"/>
  <c r="S158" i="1"/>
  <c r="S17" i="1"/>
  <c r="S33" i="1"/>
  <c r="S9" i="1"/>
  <c r="S357" i="1"/>
  <c r="S200" i="1"/>
  <c r="S387" i="1"/>
  <c r="S71" i="1"/>
  <c r="S104" i="1"/>
  <c r="S298" i="1"/>
  <c r="S114" i="1"/>
  <c r="S122" i="1"/>
  <c r="S130" i="1"/>
  <c r="S532" i="1"/>
  <c r="S342" i="1"/>
  <c r="S201" i="1"/>
  <c r="S306" i="1"/>
  <c r="S144" i="1"/>
  <c r="S325" i="1"/>
  <c r="S230" i="1"/>
  <c r="S526" i="1"/>
  <c r="S469" i="1"/>
  <c r="S500" i="1"/>
  <c r="S524" i="1"/>
  <c r="S508" i="1"/>
  <c r="S427" i="1"/>
  <c r="S514" i="1"/>
  <c r="S499" i="1"/>
  <c r="S258" i="1"/>
  <c r="S270" i="1"/>
  <c r="S21" i="1"/>
  <c r="S8" i="1"/>
  <c r="S153" i="1"/>
  <c r="S300" i="1"/>
  <c r="S449" i="1"/>
  <c r="S324" i="1"/>
  <c r="S170" i="1"/>
  <c r="S151" i="1"/>
  <c r="S419" i="1"/>
  <c r="S193" i="1"/>
  <c r="S134" i="1"/>
  <c r="S474" i="1"/>
  <c r="S562" i="1"/>
  <c r="S545" i="1"/>
  <c r="S25" i="1"/>
  <c r="S414" i="1"/>
  <c r="S100" i="1"/>
  <c r="S287" i="1"/>
  <c r="S63" i="1"/>
  <c r="S112" i="1"/>
  <c r="S444" i="1"/>
  <c r="S531" i="1"/>
  <c r="S235" i="1"/>
  <c r="S159" i="1"/>
  <c r="S64" i="1"/>
  <c r="S241" i="1"/>
  <c r="S12" i="1"/>
  <c r="S382" i="1"/>
  <c r="S485" i="1"/>
  <c r="S42" i="1"/>
  <c r="S369" i="1"/>
  <c r="S97" i="1"/>
  <c r="S43" i="1"/>
  <c r="S115" i="1"/>
  <c r="S101" i="1"/>
  <c r="S355" i="1"/>
  <c r="S337" i="1"/>
  <c r="S289" i="1"/>
  <c r="S35" i="1"/>
  <c r="S53" i="1"/>
  <c r="S431" i="1"/>
  <c r="S489" i="1"/>
  <c r="S344" i="1"/>
  <c r="S168" i="1"/>
  <c r="S437" i="1"/>
  <c r="S426" i="1"/>
  <c r="S307" i="1"/>
  <c r="S547" i="1"/>
  <c r="S411" i="1"/>
  <c r="S446" i="1"/>
  <c r="S185" i="1"/>
  <c r="S136" i="1"/>
  <c r="S238" i="1"/>
  <c r="S66" i="1"/>
  <c r="S354" i="1"/>
  <c r="S86" i="1"/>
  <c r="S157" i="1"/>
  <c r="S209" i="1"/>
  <c r="S108" i="1"/>
  <c r="S413" i="1"/>
  <c r="S187" i="1"/>
  <c r="S293" i="1"/>
  <c r="S221" i="1"/>
  <c r="S213" i="1"/>
  <c r="S434" i="1"/>
  <c r="S490" i="1"/>
  <c r="S180" i="1"/>
  <c r="S178" i="1"/>
  <c r="S452" i="1"/>
  <c r="S374" i="1"/>
  <c r="S194" i="1"/>
  <c r="S360" i="1"/>
  <c r="S405" i="1"/>
  <c r="S106" i="1"/>
  <c r="S243" i="1"/>
  <c r="S315" i="1"/>
  <c r="S124" i="1"/>
  <c r="S339" i="1"/>
  <c r="S550" i="1"/>
  <c r="S319" i="1"/>
  <c r="S515" i="1"/>
  <c r="S128" i="1"/>
  <c r="S259" i="1"/>
  <c r="S145" i="1"/>
  <c r="S448" i="1"/>
  <c r="S384" i="1"/>
  <c r="S401" i="1"/>
  <c r="S125" i="1"/>
  <c r="S430" i="1"/>
  <c r="S459" i="1"/>
  <c r="S143" i="1"/>
  <c r="S438" i="1"/>
  <c r="S281" i="1"/>
  <c r="O570" i="1" l="1"/>
  <c r="N570" i="1"/>
  <c r="S571" i="1"/>
  <c r="T109" i="1"/>
  <c r="T141" i="1"/>
  <c r="T433" i="1"/>
  <c r="T315" i="1"/>
  <c r="T459" i="1"/>
  <c r="T524" i="1"/>
  <c r="T95" i="1"/>
  <c r="T123" i="1"/>
  <c r="T560" i="1"/>
  <c r="T113" i="1"/>
  <c r="T372" i="1"/>
  <c r="T473" i="1"/>
  <c r="T293" i="1"/>
  <c r="T469" i="1"/>
  <c r="T150" i="1"/>
  <c r="T383" i="1"/>
  <c r="T384" i="1"/>
  <c r="T531" i="1"/>
  <c r="T387" i="1"/>
  <c r="T199" i="1"/>
  <c r="T118" i="1"/>
  <c r="T535" i="1"/>
  <c r="T516" i="1"/>
  <c r="T182" i="1"/>
  <c r="T444" i="1"/>
  <c r="T504" i="1"/>
  <c r="T19" i="1"/>
  <c r="T374" i="1"/>
  <c r="T101" i="1"/>
  <c r="T144" i="1"/>
  <c r="T297" i="1"/>
  <c r="T447" i="1"/>
  <c r="T396" i="1"/>
  <c r="T439" i="1"/>
  <c r="T90" i="1"/>
  <c r="T236" i="1"/>
  <c r="T259" i="1"/>
  <c r="T115" i="1"/>
  <c r="T357" i="1"/>
  <c r="T207" i="1"/>
  <c r="T237" i="1"/>
  <c r="T445" i="1"/>
  <c r="T260" i="1"/>
  <c r="T16" i="1"/>
  <c r="T250" i="1"/>
  <c r="T131" i="1"/>
  <c r="T310" i="1"/>
  <c r="T536" i="1"/>
  <c r="T47" i="1"/>
  <c r="T13" i="1"/>
  <c r="T391" i="1"/>
  <c r="T164" i="1"/>
  <c r="T280" i="1"/>
  <c r="T254" i="1"/>
  <c r="T128" i="1"/>
  <c r="T377" i="1"/>
  <c r="T157" i="1"/>
  <c r="T168" i="1"/>
  <c r="T43" i="1"/>
  <c r="T287" i="1"/>
  <c r="T8" i="1"/>
  <c r="T18" i="1"/>
  <c r="T9" i="1"/>
  <c r="T497" i="1"/>
  <c r="T5" i="1"/>
  <c r="T84" i="1"/>
  <c r="T356" i="1"/>
  <c r="T220" i="1"/>
  <c r="T273" i="1"/>
  <c r="T509" i="1"/>
  <c r="T129" i="1"/>
  <c r="T294" i="1"/>
  <c r="T36" i="1"/>
  <c r="T424" i="1"/>
  <c r="T466" i="1"/>
  <c r="T137" i="1"/>
  <c r="T363" i="1"/>
  <c r="T458" i="1"/>
  <c r="T99" i="1"/>
  <c r="T226" i="1"/>
  <c r="T75" i="1"/>
  <c r="T15" i="1"/>
  <c r="T133" i="1"/>
  <c r="T264" i="1"/>
  <c r="T480" i="1"/>
  <c r="T165" i="1"/>
  <c r="T49" i="1"/>
  <c r="T183" i="1"/>
  <c r="T55" i="1"/>
  <c r="T221" i="1"/>
  <c r="T22" i="1"/>
  <c r="T408" i="1"/>
  <c r="T77" i="1"/>
  <c r="T62" i="1"/>
  <c r="T465" i="1"/>
  <c r="T525" i="1"/>
  <c r="T563" i="1"/>
  <c r="T198" i="1"/>
  <c r="T35" i="1"/>
  <c r="T196" i="1"/>
  <c r="T373" i="1"/>
  <c r="T179" i="1"/>
  <c r="T313" i="1"/>
  <c r="T520" i="1"/>
  <c r="T285" i="1"/>
  <c r="T289" i="1"/>
  <c r="T470" i="1"/>
  <c r="T214" i="1"/>
  <c r="T418" i="1"/>
  <c r="T103" i="1"/>
  <c r="T460" i="1"/>
  <c r="T347" i="1"/>
  <c r="T360" i="1"/>
  <c r="T324" i="1"/>
  <c r="T54" i="1"/>
  <c r="T559" i="1"/>
  <c r="T138" i="1"/>
  <c r="T208" i="1"/>
  <c r="T325" i="1"/>
  <c r="T117" i="1"/>
  <c r="T142" i="1"/>
  <c r="T275" i="1"/>
  <c r="T229" i="1"/>
  <c r="T67" i="1"/>
  <c r="T26" i="1"/>
  <c r="T209" i="1"/>
  <c r="T46" i="1"/>
  <c r="T316" i="1"/>
  <c r="T178" i="1"/>
  <c r="T86" i="1"/>
  <c r="T334" i="1"/>
  <c r="T97" i="1"/>
  <c r="T100" i="1"/>
  <c r="T21" i="1"/>
  <c r="T443" i="1"/>
  <c r="T33" i="1"/>
  <c r="T343" i="1"/>
  <c r="T496" i="1"/>
  <c r="T173" i="1"/>
  <c r="T511" i="1"/>
  <c r="T160" i="1"/>
  <c r="T456" i="1"/>
  <c r="T192" i="1"/>
  <c r="T336" i="1"/>
  <c r="T326" i="1"/>
  <c r="T309" i="1"/>
  <c r="T541" i="1"/>
  <c r="T435" i="1"/>
  <c r="T471" i="1"/>
  <c r="T393" i="1"/>
  <c r="T378" i="1"/>
  <c r="T528" i="1"/>
  <c r="T152" i="1"/>
  <c r="T224" i="1"/>
  <c r="T453" i="1"/>
  <c r="T332" i="1"/>
  <c r="T555" i="1"/>
  <c r="T301" i="1"/>
  <c r="T498" i="1"/>
  <c r="T228" i="1"/>
  <c r="T540" i="1"/>
  <c r="T331" i="1"/>
  <c r="T298" i="1"/>
  <c r="T267" i="1"/>
  <c r="T252" i="1"/>
  <c r="T171" i="1"/>
  <c r="T98" i="1"/>
  <c r="T245" i="1"/>
  <c r="T204" i="1"/>
  <c r="T188" i="1"/>
  <c r="T102" i="1"/>
  <c r="T420" i="1"/>
  <c r="T235" i="1"/>
  <c r="T167" i="1"/>
  <c r="T74" i="1"/>
  <c r="T368" i="1"/>
  <c r="T564" i="1"/>
  <c r="T162" i="1"/>
  <c r="T108" i="1"/>
  <c r="T135" i="1"/>
  <c r="T544" i="1"/>
  <c r="T61" i="1"/>
  <c r="T416" i="1"/>
  <c r="T549" i="1"/>
  <c r="T132" i="1"/>
  <c r="T145" i="1"/>
  <c r="T112" i="1"/>
  <c r="T87" i="1"/>
  <c r="T89" i="1"/>
  <c r="T340" i="1"/>
  <c r="T265" i="1"/>
  <c r="T153" i="1"/>
  <c r="T177" i="1"/>
  <c r="T323" i="1"/>
  <c r="T515" i="1"/>
  <c r="T180" i="1"/>
  <c r="T482" i="1"/>
  <c r="T344" i="1"/>
  <c r="T369" i="1"/>
  <c r="T414" i="1"/>
  <c r="T270" i="1"/>
  <c r="T201" i="1"/>
  <c r="T17" i="1"/>
  <c r="T156" i="1"/>
  <c r="T370" i="1"/>
  <c r="T507" i="1"/>
  <c r="T364" i="1"/>
  <c r="T222" i="1"/>
  <c r="T311" i="1"/>
  <c r="T475" i="1"/>
  <c r="T478" i="1"/>
  <c r="T186" i="1"/>
  <c r="T523" i="1"/>
  <c r="T510" i="1"/>
  <c r="T82" i="1"/>
  <c r="T76" i="1"/>
  <c r="T538" i="1"/>
  <c r="T399" i="1"/>
  <c r="T45" i="1"/>
  <c r="T111" i="1"/>
  <c r="T291" i="1"/>
  <c r="T73" i="1"/>
  <c r="T262" i="1"/>
  <c r="T320" i="1"/>
  <c r="T537" i="1"/>
  <c r="T223" i="1"/>
  <c r="T44" i="1"/>
  <c r="T529" i="1"/>
  <c r="T513" i="1"/>
  <c r="T193" i="1"/>
  <c r="T38" i="1"/>
  <c r="T365" i="1"/>
  <c r="T80" i="1"/>
  <c r="T546" i="1"/>
  <c r="T271" i="1"/>
  <c r="T70" i="1"/>
  <c r="T243" i="1"/>
  <c r="T500" i="1"/>
  <c r="T385" i="1"/>
  <c r="T169" i="1"/>
  <c r="T327" i="1"/>
  <c r="T232" i="1"/>
  <c r="T125" i="1"/>
  <c r="T71" i="1"/>
  <c r="T494" i="1"/>
  <c r="T392" i="1"/>
  <c r="T425" i="1"/>
  <c r="T468" i="1"/>
  <c r="T41" i="1"/>
  <c r="T411" i="1"/>
  <c r="T526" i="1"/>
  <c r="T172" i="1"/>
  <c r="T463" i="1"/>
  <c r="T96" i="1"/>
  <c r="T329" i="1"/>
  <c r="T23" i="1"/>
  <c r="T266" i="1"/>
  <c r="T194" i="1"/>
  <c r="T449" i="1"/>
  <c r="T277" i="1"/>
  <c r="T314" i="1"/>
  <c r="T390" i="1"/>
  <c r="T200" i="1"/>
  <c r="T317" i="1"/>
  <c r="T92" i="1"/>
  <c r="T296" i="1"/>
  <c r="T503" i="1"/>
  <c r="T437" i="1"/>
  <c r="T161" i="1"/>
  <c r="T319" i="1"/>
  <c r="T490" i="1"/>
  <c r="T354" i="1"/>
  <c r="T321" i="1"/>
  <c r="T42" i="1"/>
  <c r="T25" i="1"/>
  <c r="T258" i="1"/>
  <c r="T342" i="1"/>
  <c r="T158" i="1"/>
  <c r="T341" i="1"/>
  <c r="T380" i="1"/>
  <c r="T389" i="1"/>
  <c r="T78" i="1"/>
  <c r="T65" i="1"/>
  <c r="T58" i="1"/>
  <c r="T486" i="1"/>
  <c r="T6" i="1"/>
  <c r="T386" i="1"/>
  <c r="T410" i="1"/>
  <c r="T30" i="1"/>
  <c r="T205" i="1"/>
  <c r="T174" i="1"/>
  <c r="T189" i="1"/>
  <c r="T464" i="1"/>
  <c r="T154" i="1"/>
  <c r="T305" i="1"/>
  <c r="T487" i="1"/>
  <c r="T127" i="1"/>
  <c r="T366" i="1"/>
  <c r="T217" i="1"/>
  <c r="T176" i="1"/>
  <c r="T257" i="1"/>
  <c r="T184" i="1"/>
  <c r="T278" i="1"/>
  <c r="T542" i="1"/>
  <c r="T53" i="1"/>
  <c r="T402" i="1"/>
  <c r="T239" i="1"/>
  <c r="T404" i="1"/>
  <c r="T436" i="1"/>
  <c r="T358" i="1"/>
  <c r="T561" i="1"/>
  <c r="T195" i="1"/>
  <c r="T330" i="1"/>
  <c r="T446" i="1"/>
  <c r="T104" i="1"/>
  <c r="T551" i="1"/>
  <c r="T249" i="1"/>
  <c r="T335" i="1"/>
  <c r="T488" i="1"/>
  <c r="T462" i="1"/>
  <c r="T415" i="1"/>
  <c r="T412" i="1"/>
  <c r="T547" i="1"/>
  <c r="T400" i="1"/>
  <c r="T457" i="1"/>
  <c r="T148" i="1"/>
  <c r="T48" i="1"/>
  <c r="T530" i="1"/>
  <c r="T448" i="1"/>
  <c r="T361" i="1"/>
  <c r="T181" i="1"/>
  <c r="T345" i="1"/>
  <c r="T306" i="1"/>
  <c r="T367" i="1"/>
  <c r="T263" i="1"/>
  <c r="T492" i="1"/>
  <c r="T434" i="1"/>
  <c r="T66" i="1"/>
  <c r="T512" i="1"/>
  <c r="T485" i="1"/>
  <c r="T545" i="1"/>
  <c r="T499" i="1"/>
  <c r="T532" i="1"/>
  <c r="T286" i="1"/>
  <c r="T288" i="1"/>
  <c r="T242" i="1"/>
  <c r="T27" i="1"/>
  <c r="T375" i="1"/>
  <c r="T240" i="1"/>
  <c r="T94" i="1"/>
  <c r="T261" i="1"/>
  <c r="T251" i="1"/>
  <c r="T256" i="1"/>
  <c r="T423" i="1"/>
  <c r="T428" i="1"/>
  <c r="T83" i="1"/>
  <c r="T155" i="1"/>
  <c r="T481" i="1"/>
  <c r="T522" i="1"/>
  <c r="T421" i="1"/>
  <c r="T121" i="1"/>
  <c r="T283" i="1"/>
  <c r="T450" i="1"/>
  <c r="T3" i="1"/>
  <c r="T10" i="1"/>
  <c r="T476" i="1"/>
  <c r="T432" i="1"/>
  <c r="T397" i="1"/>
  <c r="T553" i="1"/>
  <c r="T333" i="1"/>
  <c r="T231" i="1"/>
  <c r="T472" i="1"/>
  <c r="T430" i="1"/>
  <c r="T419" i="1"/>
  <c r="T166" i="1"/>
  <c r="T282" i="1"/>
  <c r="T206" i="1"/>
  <c r="T484" i="1"/>
  <c r="T106" i="1"/>
  <c r="T151" i="1"/>
  <c r="T202" i="1"/>
  <c r="T81" i="1"/>
  <c r="T210" i="1"/>
  <c r="T105" i="1"/>
  <c r="T401" i="1"/>
  <c r="T170" i="1"/>
  <c r="T543" i="1"/>
  <c r="T279" i="1"/>
  <c r="T110" i="1"/>
  <c r="T440" i="1"/>
  <c r="T337" i="1"/>
  <c r="T32" i="1"/>
  <c r="T88" i="1"/>
  <c r="T28" i="1"/>
  <c r="T147" i="1"/>
  <c r="T307" i="1"/>
  <c r="T302" i="1"/>
  <c r="T20" i="1"/>
  <c r="T518" i="1"/>
  <c r="T477" i="1"/>
  <c r="T2" i="1"/>
  <c r="T409" i="1"/>
  <c r="T7" i="1"/>
  <c r="T40" i="1"/>
  <c r="T452" i="1"/>
  <c r="T483" i="1"/>
  <c r="T139" i="1"/>
  <c r="T281" i="1"/>
  <c r="T550" i="1"/>
  <c r="T506" i="1"/>
  <c r="T238" i="1"/>
  <c r="T85" i="1"/>
  <c r="T382" i="1"/>
  <c r="T562" i="1"/>
  <c r="T514" i="1"/>
  <c r="T130" i="1"/>
  <c r="T304" i="1"/>
  <c r="T495" i="1"/>
  <c r="T116" i="1"/>
  <c r="T491" i="1"/>
  <c r="T557" i="1"/>
  <c r="T322" i="1"/>
  <c r="T60" i="1"/>
  <c r="T429" i="1"/>
  <c r="T191" i="1"/>
  <c r="T349" i="1"/>
  <c r="T146" i="1"/>
  <c r="T318" i="1"/>
  <c r="T299" i="1"/>
  <c r="T107" i="1"/>
  <c r="T218" i="1"/>
  <c r="T552" i="1"/>
  <c r="T501" i="1"/>
  <c r="T290" i="1"/>
  <c r="T527" i="1"/>
  <c r="T234" i="1"/>
  <c r="T381" i="1"/>
  <c r="T212" i="1"/>
  <c r="T68" i="1"/>
  <c r="T548" i="1"/>
  <c r="T39" i="1"/>
  <c r="T52" i="1"/>
  <c r="T190" i="1"/>
  <c r="T461" i="1"/>
  <c r="T64" i="1"/>
  <c r="T395" i="1"/>
  <c r="T407" i="1"/>
  <c r="T493" i="1"/>
  <c r="T352" i="1"/>
  <c r="T346" i="1"/>
  <c r="T79" i="1"/>
  <c r="T187" i="1"/>
  <c r="T246" i="1"/>
  <c r="T398" i="1"/>
  <c r="T91" i="1"/>
  <c r="T272" i="1"/>
  <c r="T406" i="1"/>
  <c r="T14" i="1"/>
  <c r="T72" i="1"/>
  <c r="T376" i="1"/>
  <c r="T350" i="1"/>
  <c r="T63" i="1"/>
  <c r="T276" i="1"/>
  <c r="T4" i="1"/>
  <c r="T438" i="1"/>
  <c r="T339" i="1"/>
  <c r="T274" i="1"/>
  <c r="T136" i="1"/>
  <c r="T489" i="1"/>
  <c r="T12" i="1"/>
  <c r="T474" i="1"/>
  <c r="T427" i="1"/>
  <c r="T122" i="1"/>
  <c r="T379" i="1"/>
  <c r="T233" i="1"/>
  <c r="T269" i="1"/>
  <c r="T351" i="1"/>
  <c r="T51" i="1"/>
  <c r="T403" i="1"/>
  <c r="T24" i="1"/>
  <c r="T455" i="1"/>
  <c r="T253" i="1"/>
  <c r="T359" i="1"/>
  <c r="T308" i="1"/>
  <c r="T467" i="1"/>
  <c r="T120" i="1"/>
  <c r="T353" i="1"/>
  <c r="T211" i="1"/>
  <c r="T284" i="1"/>
  <c r="T247" i="1"/>
  <c r="T558" i="1"/>
  <c r="T175" i="1"/>
  <c r="T519" i="1"/>
  <c r="T454" i="1"/>
  <c r="T69" i="1"/>
  <c r="T93" i="1"/>
  <c r="T371" i="1"/>
  <c r="T244" i="1"/>
  <c r="T328" i="1"/>
  <c r="T554" i="1"/>
  <c r="T241" i="1"/>
  <c r="T521" i="1"/>
  <c r="T295" i="1"/>
  <c r="T159" i="1"/>
  <c r="T539" i="1"/>
  <c r="T502" i="1"/>
  <c r="T405" i="1"/>
  <c r="T362" i="1"/>
  <c r="T413" i="1"/>
  <c r="T230" i="1"/>
  <c r="T126" i="1"/>
  <c r="T248" i="1"/>
  <c r="T34" i="1"/>
  <c r="T227" i="1"/>
  <c r="T31" i="1"/>
  <c r="T355" i="1"/>
  <c r="T303" i="1"/>
  <c r="T441" i="1"/>
  <c r="T426" i="1"/>
  <c r="T300" i="1"/>
  <c r="T219" i="1"/>
  <c r="T50" i="1"/>
  <c r="T517" i="1"/>
  <c r="T388" i="1"/>
  <c r="T163" i="1"/>
  <c r="T556" i="1"/>
  <c r="T215" i="1"/>
  <c r="T143" i="1"/>
  <c r="T124" i="1"/>
  <c r="T213" i="1"/>
  <c r="T185" i="1"/>
  <c r="T431" i="1"/>
  <c r="T533" i="1"/>
  <c r="T134" i="1"/>
  <c r="T508" i="1"/>
  <c r="T114" i="1"/>
  <c r="T451" i="1"/>
  <c r="T119" i="1"/>
  <c r="T338" i="1"/>
  <c r="T442" i="1"/>
  <c r="T312" i="1"/>
  <c r="T59" i="1"/>
  <c r="T57" i="1"/>
  <c r="T292" i="1"/>
  <c r="T37" i="1"/>
  <c r="T140" i="1"/>
  <c r="T479" i="1"/>
  <c r="T268" i="1"/>
  <c r="T417" i="1"/>
  <c r="T348" i="1"/>
  <c r="T11" i="1"/>
  <c r="T225" i="1"/>
  <c r="T203" i="1"/>
  <c r="T29" i="1"/>
  <c r="T149" i="1"/>
  <c r="T422" i="1"/>
  <c r="T394" i="1"/>
  <c r="T216" i="1"/>
  <c r="T56" i="1"/>
  <c r="T255" i="1"/>
  <c r="T197" i="1"/>
  <c r="T534" i="1"/>
  <c r="T505" i="1"/>
</calcChain>
</file>

<file path=xl/sharedStrings.xml><?xml version="1.0" encoding="utf-8"?>
<sst xmlns="http://schemas.openxmlformats.org/spreadsheetml/2006/main" count="593" uniqueCount="581">
  <si>
    <t>Ticker</t>
  </si>
  <si>
    <t>Price</t>
  </si>
  <si>
    <t>Bear</t>
  </si>
  <si>
    <t>Base</t>
  </si>
  <si>
    <t>Bull</t>
  </si>
  <si>
    <t>Discount Raw</t>
  </si>
  <si>
    <t>Rev_g0</t>
  </si>
  <si>
    <t>Rev_g1</t>
  </si>
  <si>
    <t>Rev_g2</t>
  </si>
  <si>
    <t>Margin_d0</t>
  </si>
  <si>
    <t>Margin_d1</t>
  </si>
  <si>
    <t>Margin_d2</t>
  </si>
  <si>
    <t>AEO</t>
  </si>
  <si>
    <t>LULU</t>
  </si>
  <si>
    <t>BYDDY</t>
  </si>
  <si>
    <t>BMBL</t>
  </si>
  <si>
    <t>PAGS</t>
  </si>
  <si>
    <t>JD</t>
  </si>
  <si>
    <t>PDD</t>
  </si>
  <si>
    <t>CHA</t>
  </si>
  <si>
    <t>MOH</t>
  </si>
  <si>
    <t>RBLX</t>
  </si>
  <si>
    <t>JACK</t>
  </si>
  <si>
    <t>LYFT</t>
  </si>
  <si>
    <t>GAP</t>
  </si>
  <si>
    <t>SHOP</t>
  </si>
  <si>
    <t>ORCL</t>
  </si>
  <si>
    <t>TSM</t>
  </si>
  <si>
    <t>JEF</t>
  </si>
  <si>
    <t>LOW</t>
  </si>
  <si>
    <t>APO</t>
  </si>
  <si>
    <t>GM</t>
  </si>
  <si>
    <t>KO</t>
  </si>
  <si>
    <t>CROX</t>
  </si>
  <si>
    <t>HMC</t>
  </si>
  <si>
    <t>MU</t>
  </si>
  <si>
    <t>CLF</t>
  </si>
  <si>
    <t>CAL</t>
  </si>
  <si>
    <t>YB</t>
  </si>
  <si>
    <t>IONQ</t>
  </si>
  <si>
    <t>BA</t>
  </si>
  <si>
    <t>FSLR</t>
  </si>
  <si>
    <t>FRCOY</t>
  </si>
  <si>
    <t>ASCCY</t>
  </si>
  <si>
    <t>LKNCY</t>
  </si>
  <si>
    <t>NVO</t>
  </si>
  <si>
    <t>XIACY</t>
  </si>
  <si>
    <t>SINGY</t>
  </si>
  <si>
    <t>MARUY</t>
  </si>
  <si>
    <t>SPOT</t>
  </si>
  <si>
    <t>ITOCY</t>
  </si>
  <si>
    <t>MITSY</t>
  </si>
  <si>
    <t>SCVL</t>
  </si>
  <si>
    <t>KHC</t>
  </si>
  <si>
    <t>DAL</t>
  </si>
  <si>
    <t>NVDA</t>
  </si>
  <si>
    <t>MSFT</t>
  </si>
  <si>
    <t>AAPL</t>
  </si>
  <si>
    <t>AMZN</t>
  </si>
  <si>
    <t>META</t>
  </si>
  <si>
    <t>AVGO</t>
  </si>
  <si>
    <t>GOOGL</t>
  </si>
  <si>
    <t>GOOG</t>
  </si>
  <si>
    <t>TSLA</t>
  </si>
  <si>
    <t>V</t>
  </si>
  <si>
    <t>LLY</t>
  </si>
  <si>
    <t>NFLX</t>
  </si>
  <si>
    <t>XOM</t>
  </si>
  <si>
    <t>MA</t>
  </si>
  <si>
    <t>WMT</t>
  </si>
  <si>
    <t>COST</t>
  </si>
  <si>
    <t>JNJ</t>
  </si>
  <si>
    <t>HD</t>
  </si>
  <si>
    <t>PG</t>
  </si>
  <si>
    <t>ABBV</t>
  </si>
  <si>
    <t>CVX</t>
  </si>
  <si>
    <t>GE</t>
  </si>
  <si>
    <t>AMD</t>
  </si>
  <si>
    <t>CSCO</t>
  </si>
  <si>
    <t>CRM</t>
  </si>
  <si>
    <t>PM</t>
  </si>
  <si>
    <t>IBM</t>
  </si>
  <si>
    <t>UNH</t>
  </si>
  <si>
    <t>INTU</t>
  </si>
  <si>
    <t>LIN</t>
  </si>
  <si>
    <t>MCD</t>
  </si>
  <si>
    <t>DIS</t>
  </si>
  <si>
    <t>RTX</t>
  </si>
  <si>
    <t>NOW</t>
  </si>
  <si>
    <t>T</t>
  </si>
  <si>
    <t>PEP</t>
  </si>
  <si>
    <t>UBER</t>
  </si>
  <si>
    <t>BKNG</t>
  </si>
  <si>
    <t>TMO</t>
  </si>
  <si>
    <t>VZ</t>
  </si>
  <si>
    <t>ISRG</t>
  </si>
  <si>
    <t>GEV</t>
  </si>
  <si>
    <t>ACN</t>
  </si>
  <si>
    <t>TXN</t>
  </si>
  <si>
    <t>SPGI</t>
  </si>
  <si>
    <t>BLK</t>
  </si>
  <si>
    <t>AMGN</t>
  </si>
  <si>
    <t>BSX</t>
  </si>
  <si>
    <t>ADBE</t>
  </si>
  <si>
    <t>AMAT</t>
  </si>
  <si>
    <t>NEE</t>
  </si>
  <si>
    <t>HON</t>
  </si>
  <si>
    <t>GILD</t>
  </si>
  <si>
    <t>TJX</t>
  </si>
  <si>
    <t>SYK</t>
  </si>
  <si>
    <t>BWMX</t>
  </si>
  <si>
    <t>SHAK</t>
  </si>
  <si>
    <t>MPNGY</t>
  </si>
  <si>
    <t>CL</t>
  </si>
  <si>
    <t>DKNG</t>
  </si>
  <si>
    <t>ADM</t>
  </si>
  <si>
    <t>ABNB</t>
  </si>
  <si>
    <t>ETN</t>
  </si>
  <si>
    <t>CMG</t>
  </si>
  <si>
    <t>BIDU</t>
  </si>
  <si>
    <t>CVS</t>
  </si>
  <si>
    <t>QCOM</t>
  </si>
  <si>
    <t>HCA</t>
  </si>
  <si>
    <t>TEVA</t>
  </si>
  <si>
    <t>PLTR</t>
  </si>
  <si>
    <t>COIN</t>
  </si>
  <si>
    <t>F</t>
  </si>
  <si>
    <t>TCEHY</t>
  </si>
  <si>
    <t>BABA</t>
  </si>
  <si>
    <t>UAA</t>
  </si>
  <si>
    <t>DNUT</t>
  </si>
  <si>
    <t>M</t>
  </si>
  <si>
    <t>FLUT</t>
  </si>
  <si>
    <t>WBD</t>
  </si>
  <si>
    <t>SNOW</t>
  </si>
  <si>
    <t>TEAM</t>
  </si>
  <si>
    <t>PYPL</t>
  </si>
  <si>
    <t>GCO</t>
  </si>
  <si>
    <t>JILL</t>
  </si>
  <si>
    <t>YUMC</t>
  </si>
  <si>
    <t>GDS</t>
  </si>
  <si>
    <t>DPZ</t>
  </si>
  <si>
    <t>ALSN</t>
  </si>
  <si>
    <t>SEG</t>
  </si>
  <si>
    <t>STZ</t>
  </si>
  <si>
    <t>VST</t>
  </si>
  <si>
    <t>CAT</t>
  </si>
  <si>
    <t>HOOD</t>
  </si>
  <si>
    <t>CCL</t>
  </si>
  <si>
    <t>CPNG</t>
  </si>
  <si>
    <t>ULTA</t>
  </si>
  <si>
    <t>PZZA</t>
  </si>
  <si>
    <t>WEN</t>
  </si>
  <si>
    <t>KSS</t>
  </si>
  <si>
    <t>CPB</t>
  </si>
  <si>
    <t>HSY</t>
  </si>
  <si>
    <t>CRI</t>
  </si>
  <si>
    <t>RGTI</t>
  </si>
  <si>
    <t>QBTS</t>
  </si>
  <si>
    <t>QUBT</t>
  </si>
  <si>
    <t>FICO</t>
  </si>
  <si>
    <t>U</t>
  </si>
  <si>
    <t>RDDT</t>
  </si>
  <si>
    <t>ICE</t>
  </si>
  <si>
    <t>SFM</t>
  </si>
  <si>
    <t>SFD</t>
  </si>
  <si>
    <t>MTCH</t>
  </si>
  <si>
    <t>JKS</t>
  </si>
  <si>
    <t>CP</t>
  </si>
  <si>
    <t>TGT</t>
  </si>
  <si>
    <t>CRWD</t>
  </si>
  <si>
    <t>PANW</t>
  </si>
  <si>
    <t>ZM</t>
  </si>
  <si>
    <t>AMWD</t>
  </si>
  <si>
    <t>DG</t>
  </si>
  <si>
    <t>WDAY</t>
  </si>
  <si>
    <t>KR</t>
  </si>
  <si>
    <t>ROST</t>
  </si>
  <si>
    <t>DE</t>
  </si>
  <si>
    <t>DIN</t>
  </si>
  <si>
    <t>INTC</t>
  </si>
  <si>
    <t>MO</t>
  </si>
  <si>
    <t>ASML</t>
  </si>
  <si>
    <t>SBUX</t>
  </si>
  <si>
    <t>TTAM</t>
  </si>
  <si>
    <t>MCEM</t>
  </si>
  <si>
    <t>DELL</t>
  </si>
  <si>
    <t>EA</t>
  </si>
  <si>
    <t>LYV</t>
  </si>
  <si>
    <t>TM</t>
  </si>
  <si>
    <t>RACE</t>
  </si>
  <si>
    <t>LMT</t>
  </si>
  <si>
    <t>BBWI</t>
  </si>
  <si>
    <t>GRND</t>
  </si>
  <si>
    <t>DVN</t>
  </si>
  <si>
    <t>UAL</t>
  </si>
  <si>
    <t>DVA</t>
  </si>
  <si>
    <t>STLD</t>
  </si>
  <si>
    <t>UPS</t>
  </si>
  <si>
    <t>ENPH</t>
  </si>
  <si>
    <t>GIS</t>
  </si>
  <si>
    <t>HII</t>
  </si>
  <si>
    <t>OKTA</t>
  </si>
  <si>
    <t>NCLH</t>
  </si>
  <si>
    <t>XYZ</t>
  </si>
  <si>
    <t>MSTR</t>
  </si>
  <si>
    <t>APP</t>
  </si>
  <si>
    <t>FTNT</t>
  </si>
  <si>
    <t>HIMS</t>
  </si>
  <si>
    <t>DUOL</t>
  </si>
  <si>
    <t>MRVL</t>
  </si>
  <si>
    <t>PINS</t>
  </si>
  <si>
    <t>LVS</t>
  </si>
  <si>
    <t>NKE</t>
  </si>
  <si>
    <t>SNAP</t>
  </si>
  <si>
    <t>SG</t>
  </si>
  <si>
    <t>ROKU</t>
  </si>
  <si>
    <t>DOCU</t>
  </si>
  <si>
    <t>GRAB</t>
  </si>
  <si>
    <t>OXY</t>
  </si>
  <si>
    <t>QSR</t>
  </si>
  <si>
    <t>LRCX</t>
  </si>
  <si>
    <t>ADP</t>
  </si>
  <si>
    <t>KLAC</t>
  </si>
  <si>
    <t>CMCSA</t>
  </si>
  <si>
    <t>DASH</t>
  </si>
  <si>
    <t>ADI</t>
  </si>
  <si>
    <t>MELI</t>
  </si>
  <si>
    <t>MDLZ</t>
  </si>
  <si>
    <t>MAR</t>
  </si>
  <si>
    <t>REGN</t>
  </si>
  <si>
    <t>KDP</t>
  </si>
  <si>
    <t>DDOG</t>
  </si>
  <si>
    <t>BKR</t>
  </si>
  <si>
    <t>FANG</t>
  </si>
  <si>
    <t>AZN</t>
  </si>
  <si>
    <t>TRI</t>
  </si>
  <si>
    <t>CDNS</t>
  </si>
  <si>
    <t>SNPS</t>
  </si>
  <si>
    <t>TAK</t>
  </si>
  <si>
    <t>DUK</t>
  </si>
  <si>
    <t>KKR</t>
  </si>
  <si>
    <t>TT</t>
  </si>
  <si>
    <t>BMY</t>
  </si>
  <si>
    <t>WM</t>
  </si>
  <si>
    <t>MMM</t>
  </si>
  <si>
    <t>NOC</t>
  </si>
  <si>
    <t>AXON</t>
  </si>
  <si>
    <t>PWR</t>
  </si>
  <si>
    <t>BDX</t>
  </si>
  <si>
    <t>EBAY</t>
  </si>
  <si>
    <t>ROK</t>
  </si>
  <si>
    <t>NRG</t>
  </si>
  <si>
    <t>DD</t>
  </si>
  <si>
    <t>AWK</t>
  </si>
  <si>
    <t>DLTR</t>
  </si>
  <si>
    <t>EL</t>
  </si>
  <si>
    <t>ABT</t>
  </si>
  <si>
    <t>TPL</t>
  </si>
  <si>
    <t>BBY</t>
  </si>
  <si>
    <t>ALB</t>
  </si>
  <si>
    <t>CRL</t>
  </si>
  <si>
    <t>MHK</t>
  </si>
  <si>
    <t>VSCO</t>
  </si>
  <si>
    <t>BN</t>
  </si>
  <si>
    <t>BEP</t>
  </si>
  <si>
    <t>SRFM</t>
  </si>
  <si>
    <t>GME</t>
  </si>
  <si>
    <t>CME</t>
  </si>
  <si>
    <t>MCO</t>
  </si>
  <si>
    <t>NDAQ</t>
  </si>
  <si>
    <t>IBKR</t>
  </si>
  <si>
    <t>FUTU</t>
  </si>
  <si>
    <t>MORN</t>
  </si>
  <si>
    <t>ARES</t>
  </si>
  <si>
    <t>BRO</t>
  </si>
  <si>
    <t>SWK</t>
  </si>
  <si>
    <t>CHRW</t>
  </si>
  <si>
    <t>PNR</t>
  </si>
  <si>
    <t>SHW</t>
  </si>
  <si>
    <t>VFC</t>
  </si>
  <si>
    <t>FLWS</t>
  </si>
  <si>
    <t>TAP</t>
  </si>
  <si>
    <t>KLG</t>
  </si>
  <si>
    <t>FLXS</t>
  </si>
  <si>
    <t>BB</t>
  </si>
  <si>
    <t>HP</t>
  </si>
  <si>
    <t>WDC</t>
  </si>
  <si>
    <t>HHH</t>
  </si>
  <si>
    <t>DHR</t>
  </si>
  <si>
    <t>MDT</t>
  </si>
  <si>
    <t>CBRE</t>
  </si>
  <si>
    <t>MKC</t>
  </si>
  <si>
    <t>TSN</t>
  </si>
  <si>
    <t>SE</t>
  </si>
  <si>
    <t>TME</t>
  </si>
  <si>
    <t>HE</t>
  </si>
  <si>
    <t>PBT</t>
  </si>
  <si>
    <t>ARIS</t>
  </si>
  <si>
    <t>TRC</t>
  </si>
  <si>
    <t>TFPM</t>
  </si>
  <si>
    <t>WPM</t>
  </si>
  <si>
    <t>FNV</t>
  </si>
  <si>
    <t>LB</t>
  </si>
  <si>
    <t>EQIX</t>
  </si>
  <si>
    <t>CVNA</t>
  </si>
  <si>
    <t>TOST</t>
  </si>
  <si>
    <t>TTAN</t>
  </si>
  <si>
    <t>KVYO</t>
  </si>
  <si>
    <t>HWM</t>
  </si>
  <si>
    <t>FI</t>
  </si>
  <si>
    <t>EFX</t>
  </si>
  <si>
    <t>LNG</t>
  </si>
  <si>
    <t>CSGP</t>
  </si>
  <si>
    <t>NTRA</t>
  </si>
  <si>
    <t>WWD</t>
  </si>
  <si>
    <t>COHR</t>
  </si>
  <si>
    <t>YPF</t>
  </si>
  <si>
    <t>WAB</t>
  </si>
  <si>
    <t>WIX</t>
  </si>
  <si>
    <t>STX</t>
  </si>
  <si>
    <t>CCCS</t>
  </si>
  <si>
    <t>WNS</t>
  </si>
  <si>
    <t>G</t>
  </si>
  <si>
    <t>CTSH</t>
  </si>
  <si>
    <t>MMYT</t>
  </si>
  <si>
    <t>RDY</t>
  </si>
  <si>
    <t>CACC</t>
  </si>
  <si>
    <t>CFLT</t>
  </si>
  <si>
    <t>PCG</t>
  </si>
  <si>
    <t>TSEM</t>
  </si>
  <si>
    <t>ETR</t>
  </si>
  <si>
    <t>MTSI</t>
  </si>
  <si>
    <t>AMT</t>
  </si>
  <si>
    <t>COP</t>
  </si>
  <si>
    <t>HTHT</t>
  </si>
  <si>
    <t>MDB</t>
  </si>
  <si>
    <t>TWLO</t>
  </si>
  <si>
    <t>NTNX</t>
  </si>
  <si>
    <t>FWONK</t>
  </si>
  <si>
    <t>QRVO</t>
  </si>
  <si>
    <t>AFRM</t>
  </si>
  <si>
    <t>USM</t>
  </si>
  <si>
    <t>DT</t>
  </si>
  <si>
    <t>MSGE</t>
  </si>
  <si>
    <t>FUN</t>
  </si>
  <si>
    <t>SPHR</t>
  </si>
  <si>
    <t>TTD</t>
  </si>
  <si>
    <t>AER</t>
  </si>
  <si>
    <t>EGO</t>
  </si>
  <si>
    <t>IAG</t>
  </si>
  <si>
    <t>MHO</t>
  </si>
  <si>
    <t>PK</t>
  </si>
  <si>
    <t>VRSN</t>
  </si>
  <si>
    <t>GTM</t>
  </si>
  <si>
    <t>EXEL</t>
  </si>
  <si>
    <t>KGC</t>
  </si>
  <si>
    <t>AEM</t>
  </si>
  <si>
    <t>DBX</t>
  </si>
  <si>
    <t>TW</t>
  </si>
  <si>
    <t>INSM</t>
  </si>
  <si>
    <t>TAL</t>
  </si>
  <si>
    <t>JOYY</t>
  </si>
  <si>
    <t>NOAH</t>
  </si>
  <si>
    <t>AS</t>
  </si>
  <si>
    <t>MOMO</t>
  </si>
  <si>
    <t>GPI</t>
  </si>
  <si>
    <t>LAD</t>
  </si>
  <si>
    <t>DY</t>
  </si>
  <si>
    <t>CZR</t>
  </si>
  <si>
    <t>ET</t>
  </si>
  <si>
    <t>LHX</t>
  </si>
  <si>
    <t>GLW</t>
  </si>
  <si>
    <t>GPOR</t>
  </si>
  <si>
    <t>SGI</t>
  </si>
  <si>
    <t>MSC</t>
  </si>
  <si>
    <t>TDS</t>
  </si>
  <si>
    <t>SATS</t>
  </si>
  <si>
    <t>HLT</t>
  </si>
  <si>
    <t>SIRI</t>
  </si>
  <si>
    <t>EW</t>
  </si>
  <si>
    <t>HES</t>
  </si>
  <si>
    <t>CHTR</t>
  </si>
  <si>
    <t>BLDR</t>
  </si>
  <si>
    <t>FPH</t>
  </si>
  <si>
    <t>LXU</t>
  </si>
  <si>
    <t>WFG</t>
  </si>
  <si>
    <t>CVCO</t>
  </si>
  <si>
    <t>WLK</t>
  </si>
  <si>
    <t>AXR</t>
  </si>
  <si>
    <t>MT</t>
  </si>
  <si>
    <t>SKY</t>
  </si>
  <si>
    <t>IIIN</t>
  </si>
  <si>
    <t>SU</t>
  </si>
  <si>
    <t>PSX</t>
  </si>
  <si>
    <t>ETSY</t>
  </si>
  <si>
    <t>LUV</t>
  </si>
  <si>
    <t>SAP</t>
  </si>
  <si>
    <t>CNC</t>
  </si>
  <si>
    <t>MCK</t>
  </si>
  <si>
    <t>MRK</t>
  </si>
  <si>
    <t>IQV</t>
  </si>
  <si>
    <t>WTW</t>
  </si>
  <si>
    <t>CBOE</t>
  </si>
  <si>
    <t>AAL</t>
  </si>
  <si>
    <t>HUBB</t>
  </si>
  <si>
    <t>IMO</t>
  </si>
  <si>
    <t>FMX</t>
  </si>
  <si>
    <t>NSC</t>
  </si>
  <si>
    <t>NEM</t>
  </si>
  <si>
    <t>SLB</t>
  </si>
  <si>
    <t>UHS</t>
  </si>
  <si>
    <t>SNY</t>
  </si>
  <si>
    <t>JCI</t>
  </si>
  <si>
    <t>GSK</t>
  </si>
  <si>
    <t>B</t>
  </si>
  <si>
    <t>SONY</t>
  </si>
  <si>
    <t>FLEX</t>
  </si>
  <si>
    <t>FDX</t>
  </si>
  <si>
    <t>MGM</t>
  </si>
  <si>
    <t>CAVA</t>
  </si>
  <si>
    <t>CRWV</t>
  </si>
  <si>
    <t>CRCL</t>
  </si>
  <si>
    <t>OPEN</t>
  </si>
  <si>
    <t>SBET</t>
  </si>
  <si>
    <t>FIG</t>
  </si>
  <si>
    <t>TMUS</t>
  </si>
  <si>
    <t>AMC</t>
  </si>
  <si>
    <t>TWNP</t>
  </si>
  <si>
    <t>SKX</t>
  </si>
  <si>
    <t>TASK</t>
  </si>
  <si>
    <t>NVEE</t>
  </si>
  <si>
    <t>FL</t>
  </si>
  <si>
    <t>ZK</t>
  </si>
  <si>
    <t>K</t>
  </si>
  <si>
    <t>CBRL</t>
  </si>
  <si>
    <t>ANET</t>
  </si>
  <si>
    <t>APH</t>
  </si>
  <si>
    <t>UL</t>
  </si>
  <si>
    <t>SHEL</t>
  </si>
  <si>
    <t>TTE</t>
  </si>
  <si>
    <t>UNP</t>
  </si>
  <si>
    <t>WELL</t>
  </si>
  <si>
    <t>CEG</t>
  </si>
  <si>
    <t>MMC</t>
  </si>
  <si>
    <t>PH</t>
  </si>
  <si>
    <t>NTES</t>
  </si>
  <si>
    <t>RCL</t>
  </si>
  <si>
    <t>GD</t>
  </si>
  <si>
    <t>BAM</t>
  </si>
  <si>
    <t>SCCO</t>
  </si>
  <si>
    <t>AON</t>
  </si>
  <si>
    <t>CTAS</t>
  </si>
  <si>
    <t>CI</t>
  </si>
  <si>
    <t>ECL</t>
  </si>
  <si>
    <t>NET</t>
  </si>
  <si>
    <t>ITW</t>
  </si>
  <si>
    <t>AJG</t>
  </si>
  <si>
    <t>CRH</t>
  </si>
  <si>
    <t>EMR</t>
  </si>
  <si>
    <t>AZO</t>
  </si>
  <si>
    <t>WMB</t>
  </si>
  <si>
    <t>TDG</t>
  </si>
  <si>
    <t>INFY</t>
  </si>
  <si>
    <t>APD</t>
  </si>
  <si>
    <t>EOG</t>
  </si>
  <si>
    <t>FCX</t>
  </si>
  <si>
    <t>MNST</t>
  </si>
  <si>
    <t>TRV</t>
  </si>
  <si>
    <t>TEL</t>
  </si>
  <si>
    <t>KMI</t>
  </si>
  <si>
    <t>AMX</t>
  </si>
  <si>
    <t>CSX</t>
  </si>
  <si>
    <t>URI</t>
  </si>
  <si>
    <t>DLR</t>
  </si>
  <si>
    <t>PSA</t>
  </si>
  <si>
    <t>VLO</t>
  </si>
  <si>
    <t>PAYX</t>
  </si>
  <si>
    <t>CTVA</t>
  </si>
  <si>
    <t>D</t>
  </si>
  <si>
    <t>COR</t>
  </si>
  <si>
    <t>CNI</t>
  </si>
  <si>
    <t>AEP</t>
  </si>
  <si>
    <t>AFL</t>
  </si>
  <si>
    <t>CMI</t>
  </si>
  <si>
    <t>DEO</t>
  </si>
  <si>
    <t>NXPI</t>
  </si>
  <si>
    <t>ROP</t>
  </si>
  <si>
    <t>MPC</t>
  </si>
  <si>
    <t>SRE</t>
  </si>
  <si>
    <t>FAST</t>
  </si>
  <si>
    <t>TRP</t>
  </si>
  <si>
    <t>PCAR</t>
  </si>
  <si>
    <t>MET</t>
  </si>
  <si>
    <t>E</t>
  </si>
  <si>
    <t>CARR</t>
  </si>
  <si>
    <t>ALL</t>
  </si>
  <si>
    <t>VRT</t>
  </si>
  <si>
    <t>IDXX</t>
  </si>
  <si>
    <t>TCOM</t>
  </si>
  <si>
    <t>GWW</t>
  </si>
  <si>
    <t>AMP</t>
  </si>
  <si>
    <t>CPRT</t>
  </si>
  <si>
    <t>GRMN</t>
  </si>
  <si>
    <t>TTWO</t>
  </si>
  <si>
    <t>WCN</t>
  </si>
  <si>
    <t>VALE</t>
  </si>
  <si>
    <t>XEL</t>
  </si>
  <si>
    <t>HEI</t>
  </si>
  <si>
    <t>KMB</t>
  </si>
  <si>
    <t>FERG</t>
  </si>
  <si>
    <t>PEG</t>
  </si>
  <si>
    <t>CUK</t>
  </si>
  <si>
    <t>TKO</t>
  </si>
  <si>
    <t>RMD</t>
  </si>
  <si>
    <t>VMC</t>
  </si>
  <si>
    <t>SYY</t>
  </si>
  <si>
    <t>ALC</t>
  </si>
  <si>
    <t>MLM</t>
  </si>
  <si>
    <t>VRSK</t>
  </si>
  <si>
    <t>UI</t>
  </si>
  <si>
    <t>KVUE</t>
  </si>
  <si>
    <t>CAH</t>
  </si>
  <si>
    <t>TRGP</t>
  </si>
  <si>
    <t>WEC</t>
  </si>
  <si>
    <t>PUK</t>
  </si>
  <si>
    <t>VICI</t>
  </si>
  <si>
    <t>ED</t>
  </si>
  <si>
    <t>ONC</t>
  </si>
  <si>
    <t>OTIS</t>
  </si>
  <si>
    <t>A</t>
  </si>
  <si>
    <t>MCHP</t>
  </si>
  <si>
    <t>CCJ</t>
  </si>
  <si>
    <t>DTE</t>
  </si>
  <si>
    <t>CVE</t>
  </si>
  <si>
    <t>WDS</t>
  </si>
  <si>
    <t>TSCO</t>
  </si>
  <si>
    <t>EXR</t>
  </si>
  <si>
    <t>VG</t>
  </si>
  <si>
    <t>AU</t>
  </si>
  <si>
    <t>GFI</t>
  </si>
  <si>
    <t>IRM</t>
  </si>
  <si>
    <t>WIT</t>
  </si>
  <si>
    <t>TEF</t>
  </si>
  <si>
    <t>VTR</t>
  </si>
  <si>
    <t>HPE</t>
  </si>
  <si>
    <t>HUM</t>
  </si>
  <si>
    <t>DRI</t>
  </si>
  <si>
    <t>BROS</t>
  </si>
  <si>
    <t>TXRH</t>
  </si>
  <si>
    <t>WING</t>
  </si>
  <si>
    <t>EAT</t>
  </si>
  <si>
    <t>CAKE</t>
  </si>
  <si>
    <t>ARCO</t>
  </si>
  <si>
    <t>HDL</t>
  </si>
  <si>
    <t>BH</t>
  </si>
  <si>
    <t>KRUS</t>
  </si>
  <si>
    <t>PBPB</t>
  </si>
  <si>
    <t>BLMN</t>
  </si>
  <si>
    <t>NATH</t>
  </si>
  <si>
    <t>RICK</t>
  </si>
  <si>
    <t>CASY</t>
  </si>
  <si>
    <t>LOCO</t>
  </si>
  <si>
    <t>DENN</t>
  </si>
  <si>
    <t>DKS</t>
  </si>
  <si>
    <t>MNSO</t>
  </si>
  <si>
    <t>D_0</t>
  </si>
  <si>
    <t>D_1</t>
  </si>
  <si>
    <t>D_2</t>
  </si>
  <si>
    <t>R_0</t>
  </si>
  <si>
    <t>R_1</t>
  </si>
  <si>
    <t>R_2</t>
  </si>
  <si>
    <t>R_Total</t>
  </si>
  <si>
    <t>R_Rank</t>
  </si>
  <si>
    <t>Q1</t>
  </si>
  <si>
    <t>Q2</t>
  </si>
  <si>
    <t>Q3</t>
  </si>
  <si>
    <t>IQR</t>
  </si>
  <si>
    <t>UB</t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</si>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</sst>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F1280-CE46-479D-A84C-F9E581923E41}">
  <dimension ref="A1:T575"/>
  <sheetViews>
    <sheetView tabSelected="1" workbookViewId="0">
      <selection activeCell="N5" sqref="N5"/>
    </sheetView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566</v>
      </c>
      <c r="N1" t="s">
        <v>567</v>
      </c>
      <c r="O1" t="s">
        <v>568</v>
      </c>
      <c r="P1" t="s">
        <v>569</v>
      </c>
      <c r="Q1" t="s">
        <v>570</v>
      </c>
      <c r="R1" t="s">
        <v>571</v>
      </c>
      <c r="S1" t="s">
        <v>572</v>
      </c>
      <c r="T1" t="s">
        <v>573</v>
      </c>
    </row>
    <row r="2" spans="1:20" x14ac:dyDescent="0.35">
      <c r="A2" t="s">
        <v>20</v>
      </c>
      <c r="B2">
        <v>180.88</v>
      </c>
      <c r="C2">
        <v>477.37</v>
      </c>
      <c r="D2">
        <v>1588.6</v>
      </c>
      <c r="E2">
        <v>12662.18</v>
      </c>
      <c r="F2">
        <v>6.41</v>
      </c>
      <c r="G2">
        <v>2</v>
      </c>
      <c r="H2">
        <v>8</v>
      </c>
      <c r="I2">
        <v>15</v>
      </c>
      <c r="J2">
        <v>1</v>
      </c>
      <c r="K2">
        <v>5</v>
      </c>
      <c r="L2">
        <v>9</v>
      </c>
      <c r="M2" s="1">
        <f>C2/$B2-1</f>
        <v>1.6391530296329058</v>
      </c>
      <c r="N2" s="1">
        <f>D2/$B2-1</f>
        <v>7.7826183104820874</v>
      </c>
      <c r="O2" s="1">
        <f>E2/$B2-1</f>
        <v>69.003206545776209</v>
      </c>
      <c r="P2">
        <f>_xlfn.RANK.EQ(M2,M$2:M$564)</f>
        <v>3</v>
      </c>
      <c r="Q2">
        <f>_xlfn.RANK.EQ(N2,N$2:N$564)</f>
        <v>1</v>
      </c>
      <c r="R2">
        <f>_xlfn.RANK.EQ(O2,O$2:O$564)</f>
        <v>1</v>
      </c>
      <c r="S2">
        <f>SUM(P2:R2)</f>
        <v>5</v>
      </c>
      <c r="T2">
        <f>_xlfn.RANK.EQ(S2,S$2:S$564, 1)</f>
        <v>1</v>
      </c>
    </row>
    <row r="3" spans="1:20" x14ac:dyDescent="0.35">
      <c r="A3" t="s">
        <v>19</v>
      </c>
      <c r="B3">
        <v>16.64</v>
      </c>
      <c r="C3">
        <v>23.49</v>
      </c>
      <c r="D3">
        <v>74.12</v>
      </c>
      <c r="E3">
        <v>703.25</v>
      </c>
      <c r="F3">
        <v>3.5</v>
      </c>
      <c r="G3">
        <v>2</v>
      </c>
      <c r="H3">
        <v>10</v>
      </c>
      <c r="I3">
        <v>18</v>
      </c>
      <c r="J3">
        <v>1</v>
      </c>
      <c r="K3">
        <v>5</v>
      </c>
      <c r="L3">
        <v>9</v>
      </c>
      <c r="M3" s="1">
        <f>C3/$B3-1</f>
        <v>0.41165865384615374</v>
      </c>
      <c r="N3" s="1">
        <f>D3/$B3-1</f>
        <v>3.4543269230769234</v>
      </c>
      <c r="O3" s="1">
        <f>E3/$B3-1</f>
        <v>41.262620192307693</v>
      </c>
      <c r="P3">
        <f>_xlfn.RANK.EQ(M3,M$2:M$564)</f>
        <v>19</v>
      </c>
      <c r="Q3">
        <f>_xlfn.RANK.EQ(N3,N$2:N$564)</f>
        <v>3</v>
      </c>
      <c r="R3">
        <f>_xlfn.RANK.EQ(O3,O$2:O$564)</f>
        <v>3</v>
      </c>
      <c r="S3">
        <f>SUM(P3:R3)</f>
        <v>25</v>
      </c>
      <c r="T3">
        <f>_xlfn.RANK.EQ(S3,S$2:S$564, 1)</f>
        <v>2</v>
      </c>
    </row>
    <row r="4" spans="1:20" x14ac:dyDescent="0.35">
      <c r="A4" t="s">
        <v>31</v>
      </c>
      <c r="B4">
        <v>58.5</v>
      </c>
      <c r="C4">
        <v>116.65</v>
      </c>
      <c r="D4">
        <v>158.88999999999999</v>
      </c>
      <c r="E4">
        <v>424.73</v>
      </c>
      <c r="F4">
        <v>11.78</v>
      </c>
      <c r="G4">
        <v>1</v>
      </c>
      <c r="H4">
        <v>4</v>
      </c>
      <c r="I4">
        <v>7</v>
      </c>
      <c r="J4">
        <v>0</v>
      </c>
      <c r="K4">
        <v>0</v>
      </c>
      <c r="L4">
        <v>2</v>
      </c>
      <c r="M4" s="1">
        <f>C4/$B4-1</f>
        <v>0.99401709401709404</v>
      </c>
      <c r="N4" s="1">
        <f>D4/$B4-1</f>
        <v>1.7160683760683759</v>
      </c>
      <c r="O4" s="1">
        <f>E4/$B4-1</f>
        <v>6.2603418803418807</v>
      </c>
      <c r="P4">
        <f>_xlfn.RANK.EQ(M4,M$2:M$564)</f>
        <v>5</v>
      </c>
      <c r="Q4">
        <f>_xlfn.RANK.EQ(N4,N$2:N$564)</f>
        <v>9</v>
      </c>
      <c r="R4">
        <f>_xlfn.RANK.EQ(O4,O$2:O$564)</f>
        <v>25</v>
      </c>
      <c r="S4">
        <f>SUM(P4:R4)</f>
        <v>39</v>
      </c>
      <c r="T4">
        <f>_xlfn.RANK.EQ(S4,S$2:S$564, 1)</f>
        <v>3</v>
      </c>
    </row>
    <row r="5" spans="1:20" x14ac:dyDescent="0.35">
      <c r="A5" t="s">
        <v>28</v>
      </c>
      <c r="B5">
        <v>66.650000000000006</v>
      </c>
      <c r="C5">
        <v>102.55</v>
      </c>
      <c r="D5">
        <v>154.80000000000001</v>
      </c>
      <c r="E5">
        <v>779.42</v>
      </c>
      <c r="F5">
        <v>12.4</v>
      </c>
      <c r="G5">
        <v>2</v>
      </c>
      <c r="H5">
        <v>10</v>
      </c>
      <c r="I5">
        <v>18</v>
      </c>
      <c r="J5">
        <v>0</v>
      </c>
      <c r="K5">
        <v>0</v>
      </c>
      <c r="L5">
        <v>2</v>
      </c>
      <c r="M5" s="1">
        <f>C5/$B5-1</f>
        <v>0.53863465866466598</v>
      </c>
      <c r="N5" s="1">
        <f>D5/$B5-1</f>
        <v>1.3225806451612905</v>
      </c>
      <c r="O5" s="1">
        <f>E5/$B5-1</f>
        <v>10.694223555888971</v>
      </c>
      <c r="P5">
        <f>_xlfn.RANK.EQ(M5,M$2:M$564)</f>
        <v>15</v>
      </c>
      <c r="Q5">
        <f>_xlfn.RANK.EQ(N5,N$2:N$564)</f>
        <v>14</v>
      </c>
      <c r="R5">
        <f>_xlfn.RANK.EQ(O5,O$2:O$564)</f>
        <v>10</v>
      </c>
      <c r="S5">
        <f>SUM(P5:R5)</f>
        <v>39</v>
      </c>
      <c r="T5">
        <f>_xlfn.RANK.EQ(S5,S$2:S$564, 1)</f>
        <v>3</v>
      </c>
    </row>
    <row r="6" spans="1:20" x14ac:dyDescent="0.35">
      <c r="A6" t="s">
        <v>22</v>
      </c>
      <c r="B6">
        <v>18.54</v>
      </c>
      <c r="C6">
        <v>53.68</v>
      </c>
      <c r="D6">
        <v>53.3</v>
      </c>
      <c r="E6">
        <v>120.69</v>
      </c>
      <c r="F6">
        <v>12.81</v>
      </c>
      <c r="G6">
        <v>-3</v>
      </c>
      <c r="H6">
        <v>1</v>
      </c>
      <c r="I6">
        <v>5</v>
      </c>
      <c r="J6">
        <v>0</v>
      </c>
      <c r="K6">
        <v>1</v>
      </c>
      <c r="L6">
        <v>2</v>
      </c>
      <c r="M6" s="1">
        <f>C6/$B6-1</f>
        <v>1.8953613807982741</v>
      </c>
      <c r="N6" s="1">
        <f>D6/$B6-1</f>
        <v>1.8748651564185543</v>
      </c>
      <c r="O6" s="1">
        <f>E6/$B6-1</f>
        <v>5.5097087378640781</v>
      </c>
      <c r="P6">
        <f>_xlfn.RANK.EQ(M6,M$2:M$564)</f>
        <v>2</v>
      </c>
      <c r="Q6">
        <f>_xlfn.RANK.EQ(N6,N$2:N$564)</f>
        <v>8</v>
      </c>
      <c r="R6">
        <f>_xlfn.RANK.EQ(O6,O$2:O$564)</f>
        <v>31</v>
      </c>
      <c r="S6">
        <f>SUM(P6:R6)</f>
        <v>41</v>
      </c>
      <c r="T6">
        <f>_xlfn.RANK.EQ(S6,S$2:S$564, 1)</f>
        <v>5</v>
      </c>
    </row>
    <row r="7" spans="1:20" x14ac:dyDescent="0.35">
      <c r="A7" t="s">
        <v>38</v>
      </c>
      <c r="B7">
        <v>25.36</v>
      </c>
      <c r="C7">
        <v>31.69</v>
      </c>
      <c r="D7">
        <v>91.06</v>
      </c>
      <c r="E7">
        <v>822.48</v>
      </c>
      <c r="F7">
        <v>4.9000000000000004</v>
      </c>
      <c r="G7">
        <v>2</v>
      </c>
      <c r="H7">
        <v>10</v>
      </c>
      <c r="I7">
        <v>18</v>
      </c>
      <c r="J7">
        <v>1</v>
      </c>
      <c r="K7">
        <v>5</v>
      </c>
      <c r="L7">
        <v>9</v>
      </c>
      <c r="M7" s="1">
        <f>C7/$B7-1</f>
        <v>0.2496056782334386</v>
      </c>
      <c r="N7" s="1">
        <f>D7/$B7-1</f>
        <v>2.5906940063091484</v>
      </c>
      <c r="O7" s="1">
        <f>E7/$B7-1</f>
        <v>31.43217665615142</v>
      </c>
      <c r="P7">
        <f>_xlfn.RANK.EQ(M7,M$2:M$564)</f>
        <v>35</v>
      </c>
      <c r="Q7">
        <f>_xlfn.RANK.EQ(N7,N$2:N$564)</f>
        <v>5</v>
      </c>
      <c r="R7">
        <f>_xlfn.RANK.EQ(O7,O$2:O$564)</f>
        <v>4</v>
      </c>
      <c r="S7">
        <f>SUM(P7:R7)</f>
        <v>44</v>
      </c>
      <c r="T7">
        <f>_xlfn.RANK.EQ(S7,S$2:S$564, 1)</f>
        <v>6</v>
      </c>
    </row>
    <row r="8" spans="1:20" x14ac:dyDescent="0.35">
      <c r="A8" t="s">
        <v>398</v>
      </c>
      <c r="B8">
        <v>33.26</v>
      </c>
      <c r="C8">
        <v>66.72</v>
      </c>
      <c r="D8">
        <v>78.7</v>
      </c>
      <c r="E8">
        <v>200.69</v>
      </c>
      <c r="F8">
        <v>12.79</v>
      </c>
      <c r="G8">
        <v>0</v>
      </c>
      <c r="H8">
        <v>2</v>
      </c>
      <c r="I8">
        <v>5</v>
      </c>
      <c r="J8">
        <v>0</v>
      </c>
      <c r="K8">
        <v>0</v>
      </c>
      <c r="L8">
        <v>2</v>
      </c>
      <c r="M8" s="1">
        <f>C8/$B8-1</f>
        <v>1.0060132291040289</v>
      </c>
      <c r="N8" s="1">
        <f>D8/$B8-1</f>
        <v>1.3662056524353581</v>
      </c>
      <c r="O8" s="1">
        <f>E8/$B8-1</f>
        <v>5.0339747444377636</v>
      </c>
      <c r="P8">
        <f>_xlfn.RANK.EQ(M8,M$2:M$564)</f>
        <v>4</v>
      </c>
      <c r="Q8">
        <f>_xlfn.RANK.EQ(N8,N$2:N$564)</f>
        <v>12</v>
      </c>
      <c r="R8">
        <f>_xlfn.RANK.EQ(O8,O$2:O$564)</f>
        <v>34</v>
      </c>
      <c r="S8">
        <f>SUM(P8:R8)</f>
        <v>50</v>
      </c>
      <c r="T8">
        <f>_xlfn.RANK.EQ(S8,S$2:S$564, 1)</f>
        <v>7</v>
      </c>
    </row>
    <row r="9" spans="1:20" x14ac:dyDescent="0.35">
      <c r="A9" t="s">
        <v>30</v>
      </c>
      <c r="B9">
        <v>138.03</v>
      </c>
      <c r="C9">
        <v>426.66</v>
      </c>
      <c r="D9">
        <v>466.72</v>
      </c>
      <c r="E9">
        <v>652.33000000000004</v>
      </c>
      <c r="F9">
        <v>6.63</v>
      </c>
      <c r="G9">
        <v>-3</v>
      </c>
      <c r="H9">
        <v>1</v>
      </c>
      <c r="I9">
        <v>5</v>
      </c>
      <c r="J9">
        <v>1</v>
      </c>
      <c r="K9">
        <v>5</v>
      </c>
      <c r="L9">
        <v>9</v>
      </c>
      <c r="M9" s="1">
        <f>C9/$B9-1</f>
        <v>2.0910671593131931</v>
      </c>
      <c r="N9" s="1">
        <f>D9/$B9-1</f>
        <v>2.3812939216112441</v>
      </c>
      <c r="O9" s="1">
        <f>E9/$B9-1</f>
        <v>3.7260015938564086</v>
      </c>
      <c r="P9">
        <f>_xlfn.RANK.EQ(M9,M$2:M$564)</f>
        <v>1</v>
      </c>
      <c r="Q9">
        <f>_xlfn.RANK.EQ(N9,N$2:N$564)</f>
        <v>6</v>
      </c>
      <c r="R9">
        <f>_xlfn.RANK.EQ(O9,O$2:O$564)</f>
        <v>47</v>
      </c>
      <c r="S9">
        <f>SUM(P9:R9)</f>
        <v>54</v>
      </c>
      <c r="T9">
        <f>_xlfn.RANK.EQ(S9,S$2:S$564, 1)</f>
        <v>8</v>
      </c>
    </row>
    <row r="10" spans="1:20" x14ac:dyDescent="0.35">
      <c r="A10" t="s">
        <v>18</v>
      </c>
      <c r="B10">
        <v>125.44</v>
      </c>
      <c r="C10">
        <v>133.56</v>
      </c>
      <c r="D10">
        <v>374.68</v>
      </c>
      <c r="E10">
        <v>3334.22</v>
      </c>
      <c r="F10">
        <v>4.3</v>
      </c>
      <c r="G10">
        <v>2</v>
      </c>
      <c r="H10">
        <v>10</v>
      </c>
      <c r="I10">
        <v>18</v>
      </c>
      <c r="J10">
        <v>1</v>
      </c>
      <c r="K10">
        <v>5</v>
      </c>
      <c r="L10">
        <v>9</v>
      </c>
      <c r="M10" s="1">
        <f>C10/$B10-1</f>
        <v>6.4732142857142794E-2</v>
      </c>
      <c r="N10" s="1">
        <f>D10/$B10-1</f>
        <v>1.9869260204081636</v>
      </c>
      <c r="O10" s="1">
        <f>E10/$B10-1</f>
        <v>25.58019770408163</v>
      </c>
      <c r="P10">
        <f>_xlfn.RANK.EQ(M10,M$2:M$564)</f>
        <v>46</v>
      </c>
      <c r="Q10">
        <f>_xlfn.RANK.EQ(N10,N$2:N$564)</f>
        <v>7</v>
      </c>
      <c r="R10">
        <f>_xlfn.RANK.EQ(O10,O$2:O$564)</f>
        <v>5</v>
      </c>
      <c r="S10">
        <f>SUM(P10:R10)</f>
        <v>58</v>
      </c>
      <c r="T10">
        <f>_xlfn.RANK.EQ(S10,S$2:S$564, 1)</f>
        <v>9</v>
      </c>
    </row>
    <row r="11" spans="1:20" x14ac:dyDescent="0.35">
      <c r="A11" t="s">
        <v>34</v>
      </c>
      <c r="B11">
        <v>33.53</v>
      </c>
      <c r="C11">
        <v>64.48</v>
      </c>
      <c r="D11">
        <v>78.510000000000005</v>
      </c>
      <c r="E11">
        <v>166.79</v>
      </c>
      <c r="F11">
        <v>12.08</v>
      </c>
      <c r="G11">
        <v>1</v>
      </c>
      <c r="H11">
        <v>3</v>
      </c>
      <c r="I11">
        <v>5</v>
      </c>
      <c r="J11">
        <v>0</v>
      </c>
      <c r="K11">
        <v>0</v>
      </c>
      <c r="L11">
        <v>2</v>
      </c>
      <c r="M11" s="1">
        <f>C11/$B11-1</f>
        <v>0.92305398150909634</v>
      </c>
      <c r="N11" s="1">
        <f>D11/$B11-1</f>
        <v>1.3414852371011037</v>
      </c>
      <c r="O11" s="1">
        <f>E11/$B11-1</f>
        <v>3.974351327169698</v>
      </c>
      <c r="P11">
        <f>_xlfn.RANK.EQ(M11,M$2:M$564)</f>
        <v>6</v>
      </c>
      <c r="Q11">
        <f>_xlfn.RANK.EQ(N11,N$2:N$564)</f>
        <v>13</v>
      </c>
      <c r="R11">
        <f>_xlfn.RANK.EQ(O11,O$2:O$564)</f>
        <v>43</v>
      </c>
      <c r="S11">
        <f>SUM(P11:R11)</f>
        <v>62</v>
      </c>
      <c r="T11">
        <f>_xlfn.RANK.EQ(S11,S$2:S$564, 1)</f>
        <v>10</v>
      </c>
    </row>
    <row r="12" spans="1:20" x14ac:dyDescent="0.35">
      <c r="A12" t="s">
        <v>351</v>
      </c>
      <c r="B12">
        <v>154.1</v>
      </c>
      <c r="C12">
        <v>228.99</v>
      </c>
      <c r="D12">
        <v>339.18</v>
      </c>
      <c r="E12">
        <v>1009.31</v>
      </c>
      <c r="F12">
        <v>11.67</v>
      </c>
      <c r="G12">
        <v>1</v>
      </c>
      <c r="H12">
        <v>5</v>
      </c>
      <c r="I12">
        <v>9</v>
      </c>
      <c r="J12">
        <v>0</v>
      </c>
      <c r="K12">
        <v>0</v>
      </c>
      <c r="L12">
        <v>2</v>
      </c>
      <c r="M12" s="1">
        <f>C12/$B12-1</f>
        <v>0.48598312783906561</v>
      </c>
      <c r="N12" s="1">
        <f>D12/$B12-1</f>
        <v>1.2010382868267362</v>
      </c>
      <c r="O12" s="1">
        <f>E12/$B12-1</f>
        <v>5.5497079818299806</v>
      </c>
      <c r="P12">
        <f>_xlfn.RANK.EQ(M12,M$2:M$564)</f>
        <v>16</v>
      </c>
      <c r="Q12">
        <f>_xlfn.RANK.EQ(N12,N$2:N$564)</f>
        <v>16</v>
      </c>
      <c r="R12">
        <f>_xlfn.RANK.EQ(O12,O$2:O$564)</f>
        <v>30</v>
      </c>
      <c r="S12">
        <f>SUM(P12:R12)</f>
        <v>62</v>
      </c>
      <c r="T12">
        <f>_xlfn.RANK.EQ(S12,S$2:S$564, 1)</f>
        <v>10</v>
      </c>
    </row>
    <row r="13" spans="1:20" x14ac:dyDescent="0.35">
      <c r="A13" t="s">
        <v>13</v>
      </c>
      <c r="B13">
        <v>159.87</v>
      </c>
      <c r="C13">
        <v>200.27</v>
      </c>
      <c r="D13">
        <v>393.65</v>
      </c>
      <c r="E13">
        <v>1279.03</v>
      </c>
      <c r="F13">
        <v>6.4</v>
      </c>
      <c r="G13">
        <v>1</v>
      </c>
      <c r="H13">
        <v>5</v>
      </c>
      <c r="I13">
        <v>8</v>
      </c>
      <c r="J13">
        <v>0</v>
      </c>
      <c r="K13">
        <v>2</v>
      </c>
      <c r="L13">
        <v>4</v>
      </c>
      <c r="M13" s="1">
        <f>C13/$B13-1</f>
        <v>0.25270532307499849</v>
      </c>
      <c r="N13" s="1">
        <f>D13/$B13-1</f>
        <v>1.4623131294176517</v>
      </c>
      <c r="O13" s="1">
        <f>E13/$B13-1</f>
        <v>7.0004378557578022</v>
      </c>
      <c r="P13">
        <f>_xlfn.RANK.EQ(M13,M$2:M$564)</f>
        <v>34</v>
      </c>
      <c r="Q13">
        <f>_xlfn.RANK.EQ(N13,N$2:N$564)</f>
        <v>10</v>
      </c>
      <c r="R13">
        <f>_xlfn.RANK.EQ(O13,O$2:O$564)</f>
        <v>18</v>
      </c>
      <c r="S13">
        <f>SUM(P13:R13)</f>
        <v>62</v>
      </c>
      <c r="T13">
        <f>_xlfn.RANK.EQ(S13,S$2:S$564, 1)</f>
        <v>10</v>
      </c>
    </row>
    <row r="14" spans="1:20" x14ac:dyDescent="0.35">
      <c r="A14" t="s">
        <v>16</v>
      </c>
      <c r="B14">
        <v>9.5399999999999991</v>
      </c>
      <c r="C14">
        <v>10.210000000000001</v>
      </c>
      <c r="D14">
        <v>17.809999999999999</v>
      </c>
      <c r="E14">
        <v>97.21</v>
      </c>
      <c r="F14">
        <v>13.53</v>
      </c>
      <c r="G14">
        <v>2</v>
      </c>
      <c r="H14">
        <v>8</v>
      </c>
      <c r="I14">
        <v>14</v>
      </c>
      <c r="J14">
        <v>0</v>
      </c>
      <c r="K14">
        <v>0</v>
      </c>
      <c r="L14">
        <v>2</v>
      </c>
      <c r="M14" s="1">
        <f>C14/$B14-1</f>
        <v>7.0230607966457193E-2</v>
      </c>
      <c r="N14" s="1">
        <f>D14/$B14-1</f>
        <v>0.86687631027253675</v>
      </c>
      <c r="O14" s="1">
        <f>E14/$B14-1</f>
        <v>9.1897274633123693</v>
      </c>
      <c r="P14">
        <f>_xlfn.RANK.EQ(M14,M$2:M$564)</f>
        <v>45</v>
      </c>
      <c r="Q14">
        <f>_xlfn.RANK.EQ(N14,N$2:N$564)</f>
        <v>24</v>
      </c>
      <c r="R14">
        <f>_xlfn.RANK.EQ(O14,O$2:O$564)</f>
        <v>11</v>
      </c>
      <c r="S14">
        <f>SUM(P14:R14)</f>
        <v>80</v>
      </c>
      <c r="T14">
        <f>_xlfn.RANK.EQ(S14,S$2:S$564, 1)</f>
        <v>13</v>
      </c>
    </row>
    <row r="15" spans="1:20" x14ac:dyDescent="0.35">
      <c r="A15" t="s">
        <v>234</v>
      </c>
      <c r="B15">
        <v>136.88</v>
      </c>
      <c r="C15">
        <v>129.47</v>
      </c>
      <c r="D15">
        <v>301.56</v>
      </c>
      <c r="E15">
        <v>1647.35</v>
      </c>
      <c r="F15">
        <v>10.25</v>
      </c>
      <c r="G15">
        <v>2</v>
      </c>
      <c r="H15">
        <v>10</v>
      </c>
      <c r="I15">
        <v>18</v>
      </c>
      <c r="J15">
        <v>0</v>
      </c>
      <c r="K15">
        <v>0</v>
      </c>
      <c r="L15">
        <v>2</v>
      </c>
      <c r="M15" s="1">
        <f>C15/$B15-1</f>
        <v>-5.4135008766802994E-2</v>
      </c>
      <c r="N15" s="1">
        <f>D15/$B15-1</f>
        <v>1.2030976037405026</v>
      </c>
      <c r="O15" s="1">
        <f>E15/$B15-1</f>
        <v>11.03499415546464</v>
      </c>
      <c r="P15">
        <f>_xlfn.RANK.EQ(M15,M$2:M$564)</f>
        <v>57</v>
      </c>
      <c r="Q15">
        <f>_xlfn.RANK.EQ(N15,N$2:N$564)</f>
        <v>15</v>
      </c>
      <c r="R15">
        <f>_xlfn.RANK.EQ(O15,O$2:O$564)</f>
        <v>9</v>
      </c>
      <c r="S15">
        <f>SUM(P15:R15)</f>
        <v>81</v>
      </c>
      <c r="T15">
        <f>_xlfn.RANK.EQ(S15,S$2:S$564, 1)</f>
        <v>14</v>
      </c>
    </row>
    <row r="16" spans="1:20" x14ac:dyDescent="0.35">
      <c r="A16" t="s">
        <v>404</v>
      </c>
      <c r="B16">
        <v>12.91</v>
      </c>
      <c r="C16">
        <v>22.67</v>
      </c>
      <c r="D16">
        <v>25.15</v>
      </c>
      <c r="E16">
        <v>59.21</v>
      </c>
      <c r="F16">
        <v>13.43</v>
      </c>
      <c r="G16">
        <v>0</v>
      </c>
      <c r="H16">
        <v>1</v>
      </c>
      <c r="I16">
        <v>5</v>
      </c>
      <c r="J16">
        <v>0</v>
      </c>
      <c r="K16">
        <v>0</v>
      </c>
      <c r="L16">
        <v>2</v>
      </c>
      <c r="M16" s="1">
        <f>C16/$B16-1</f>
        <v>0.75600309837335411</v>
      </c>
      <c r="N16" s="1">
        <f>D16/$B16-1</f>
        <v>0.94810224632068141</v>
      </c>
      <c r="O16" s="1">
        <f>E16/$B16-1</f>
        <v>3.5863671572424476</v>
      </c>
      <c r="P16">
        <f>_xlfn.RANK.EQ(M16,M$2:M$564)</f>
        <v>10</v>
      </c>
      <c r="Q16">
        <f>_xlfn.RANK.EQ(N16,N$2:N$564)</f>
        <v>21</v>
      </c>
      <c r="R16">
        <f>_xlfn.RANK.EQ(O16,O$2:O$564)</f>
        <v>51</v>
      </c>
      <c r="S16">
        <f>SUM(P16:R16)</f>
        <v>82</v>
      </c>
      <c r="T16">
        <f>_xlfn.RANK.EQ(S16,S$2:S$564, 1)</f>
        <v>15</v>
      </c>
    </row>
    <row r="17" spans="1:20" x14ac:dyDescent="0.35">
      <c r="A17" t="s">
        <v>179</v>
      </c>
      <c r="B17">
        <v>23.9</v>
      </c>
      <c r="C17">
        <v>45.8</v>
      </c>
      <c r="D17">
        <v>47.06</v>
      </c>
      <c r="E17">
        <v>96.25</v>
      </c>
      <c r="F17">
        <v>13.31</v>
      </c>
      <c r="G17">
        <v>-2</v>
      </c>
      <c r="H17">
        <v>1</v>
      </c>
      <c r="I17">
        <v>5</v>
      </c>
      <c r="J17">
        <v>0</v>
      </c>
      <c r="K17">
        <v>0</v>
      </c>
      <c r="L17">
        <v>2</v>
      </c>
      <c r="M17" s="1">
        <f>C17/$B17-1</f>
        <v>0.91631799163179917</v>
      </c>
      <c r="N17" s="1">
        <f>D17/$B17-1</f>
        <v>0.96903765690376598</v>
      </c>
      <c r="O17" s="1">
        <f>E17/$B17-1</f>
        <v>3.0271966527196659</v>
      </c>
      <c r="P17">
        <f>_xlfn.RANK.EQ(M17,M$2:M$564)</f>
        <v>7</v>
      </c>
      <c r="Q17">
        <f>_xlfn.RANK.EQ(N17,N$2:N$564)</f>
        <v>20</v>
      </c>
      <c r="R17">
        <f>_xlfn.RANK.EQ(O17,O$2:O$564)</f>
        <v>57</v>
      </c>
      <c r="S17">
        <f>SUM(P17:R17)</f>
        <v>84</v>
      </c>
      <c r="T17">
        <f>_xlfn.RANK.EQ(S17,S$2:S$564, 1)</f>
        <v>16</v>
      </c>
    </row>
    <row r="18" spans="1:20" x14ac:dyDescent="0.35">
      <c r="A18" t="s">
        <v>399</v>
      </c>
      <c r="B18">
        <v>711.42</v>
      </c>
      <c r="C18">
        <v>548.46</v>
      </c>
      <c r="D18">
        <v>3384.88</v>
      </c>
      <c r="E18">
        <v>30317.13</v>
      </c>
      <c r="F18">
        <v>6.24</v>
      </c>
      <c r="G18">
        <v>2</v>
      </c>
      <c r="H18">
        <v>7</v>
      </c>
      <c r="I18">
        <v>13</v>
      </c>
      <c r="J18">
        <v>1</v>
      </c>
      <c r="K18">
        <v>5</v>
      </c>
      <c r="L18">
        <v>9</v>
      </c>
      <c r="M18" s="1">
        <f>C18/$B18-1</f>
        <v>-0.22906300075904518</v>
      </c>
      <c r="N18" s="1">
        <f>D18/$B18-1</f>
        <v>3.7579207781619859</v>
      </c>
      <c r="O18" s="1">
        <f>E18/$B18-1</f>
        <v>41.614953192207139</v>
      </c>
      <c r="P18">
        <f>_xlfn.RANK.EQ(M18,M$2:M$564)</f>
        <v>81</v>
      </c>
      <c r="Q18">
        <f>_xlfn.RANK.EQ(N18,N$2:N$564)</f>
        <v>2</v>
      </c>
      <c r="R18">
        <f>_xlfn.RANK.EQ(O18,O$2:O$564)</f>
        <v>2</v>
      </c>
      <c r="S18">
        <f>SUM(P18:R18)</f>
        <v>85</v>
      </c>
      <c r="T18">
        <f>_xlfn.RANK.EQ(S18,S$2:S$564, 1)</f>
        <v>17</v>
      </c>
    </row>
    <row r="19" spans="1:20" x14ac:dyDescent="0.35">
      <c r="A19" t="s">
        <v>138</v>
      </c>
      <c r="B19">
        <v>17.940000000000001</v>
      </c>
      <c r="C19">
        <v>31.84</v>
      </c>
      <c r="D19">
        <v>36.97</v>
      </c>
      <c r="E19">
        <v>69.06</v>
      </c>
      <c r="F19">
        <v>11.02</v>
      </c>
      <c r="G19">
        <v>0</v>
      </c>
      <c r="H19">
        <v>1</v>
      </c>
      <c r="I19">
        <v>5</v>
      </c>
      <c r="J19">
        <v>0</v>
      </c>
      <c r="K19">
        <v>1</v>
      </c>
      <c r="L19">
        <v>2</v>
      </c>
      <c r="M19" s="1">
        <f>C19/$B19-1</f>
        <v>0.7748049052396877</v>
      </c>
      <c r="N19" s="1">
        <f>D19/$B19-1</f>
        <v>1.0607580824972129</v>
      </c>
      <c r="O19" s="1">
        <f>E19/$B19-1</f>
        <v>2.8494983277591972</v>
      </c>
      <c r="P19">
        <f>_xlfn.RANK.EQ(M19,M$2:M$564)</f>
        <v>9</v>
      </c>
      <c r="Q19">
        <f>_xlfn.RANK.EQ(N19,N$2:N$564)</f>
        <v>18</v>
      </c>
      <c r="R19">
        <f>_xlfn.RANK.EQ(O19,O$2:O$564)</f>
        <v>62</v>
      </c>
      <c r="S19">
        <f>SUM(P19:R19)</f>
        <v>89</v>
      </c>
      <c r="T19">
        <f>_xlfn.RANK.EQ(S19,S$2:S$564, 1)</f>
        <v>18</v>
      </c>
    </row>
    <row r="20" spans="1:20" x14ac:dyDescent="0.35">
      <c r="A20" t="s">
        <v>480</v>
      </c>
      <c r="B20">
        <v>302.52</v>
      </c>
      <c r="C20">
        <v>223.21</v>
      </c>
      <c r="D20">
        <v>1130.49</v>
      </c>
      <c r="E20">
        <v>7018.85</v>
      </c>
      <c r="F20">
        <v>6.44</v>
      </c>
      <c r="G20">
        <v>1</v>
      </c>
      <c r="H20">
        <v>5</v>
      </c>
      <c r="I20">
        <v>10</v>
      </c>
      <c r="J20">
        <v>1</v>
      </c>
      <c r="K20">
        <v>4</v>
      </c>
      <c r="L20">
        <v>7</v>
      </c>
      <c r="M20" s="1">
        <f>C20/$B20-1</f>
        <v>-0.26216448499272771</v>
      </c>
      <c r="N20" s="1">
        <f>D20/$B20-1</f>
        <v>2.7369099563665213</v>
      </c>
      <c r="O20" s="1">
        <f>E20/$B20-1</f>
        <v>22.20127594869761</v>
      </c>
      <c r="P20">
        <f>_xlfn.RANK.EQ(M20,M$2:M$564)</f>
        <v>87</v>
      </c>
      <c r="Q20">
        <f>_xlfn.RANK.EQ(N20,N$2:N$564)</f>
        <v>4</v>
      </c>
      <c r="R20">
        <f>_xlfn.RANK.EQ(O20,O$2:O$564)</f>
        <v>6</v>
      </c>
      <c r="S20">
        <f>SUM(P20:R20)</f>
        <v>97</v>
      </c>
      <c r="T20">
        <f>_xlfn.RANK.EQ(S20,S$2:S$564, 1)</f>
        <v>19</v>
      </c>
    </row>
    <row r="21" spans="1:20" x14ac:dyDescent="0.35">
      <c r="A21" t="s">
        <v>33</v>
      </c>
      <c r="B21">
        <v>77.430000000000007</v>
      </c>
      <c r="C21">
        <v>129.9</v>
      </c>
      <c r="D21">
        <v>154.27000000000001</v>
      </c>
      <c r="E21">
        <v>281.57</v>
      </c>
      <c r="F21">
        <v>10.86</v>
      </c>
      <c r="G21">
        <v>0</v>
      </c>
      <c r="H21">
        <v>2</v>
      </c>
      <c r="I21">
        <v>5</v>
      </c>
      <c r="J21">
        <v>0</v>
      </c>
      <c r="K21">
        <v>1</v>
      </c>
      <c r="L21">
        <v>2</v>
      </c>
      <c r="M21" s="1">
        <f>C21/$B21-1</f>
        <v>0.67764432390546303</v>
      </c>
      <c r="N21" s="1">
        <f>D21/$B21-1</f>
        <v>0.99238021438718849</v>
      </c>
      <c r="O21" s="1">
        <f>E21/$B21-1</f>
        <v>2.6364458220328033</v>
      </c>
      <c r="P21">
        <f>_xlfn.RANK.EQ(M21,M$2:M$564)</f>
        <v>12</v>
      </c>
      <c r="Q21">
        <f>_xlfn.RANK.EQ(N21,N$2:N$564)</f>
        <v>19</v>
      </c>
      <c r="R21">
        <f>_xlfn.RANK.EQ(O21,O$2:O$564)</f>
        <v>68</v>
      </c>
      <c r="S21">
        <f>SUM(P21:R21)</f>
        <v>99</v>
      </c>
      <c r="T21">
        <f>_xlfn.RANK.EQ(S21,S$2:S$564, 1)</f>
        <v>20</v>
      </c>
    </row>
    <row r="22" spans="1:20" x14ac:dyDescent="0.35">
      <c r="A22" t="s">
        <v>37</v>
      </c>
      <c r="B22">
        <v>14.89</v>
      </c>
      <c r="C22">
        <v>23.79</v>
      </c>
      <c r="D22">
        <v>24.66</v>
      </c>
      <c r="E22">
        <v>62.01</v>
      </c>
      <c r="F22">
        <v>12.53</v>
      </c>
      <c r="G22">
        <v>-3</v>
      </c>
      <c r="H22">
        <v>1</v>
      </c>
      <c r="I22">
        <v>5</v>
      </c>
      <c r="J22">
        <v>0</v>
      </c>
      <c r="K22">
        <v>0</v>
      </c>
      <c r="L22">
        <v>2</v>
      </c>
      <c r="M22" s="1">
        <f>C22/$B22-1</f>
        <v>0.59771658831430474</v>
      </c>
      <c r="N22" s="1">
        <f>D22/$B22-1</f>
        <v>0.65614506380120874</v>
      </c>
      <c r="O22" s="1">
        <f>E22/$B22-1</f>
        <v>3.1645399597044994</v>
      </c>
      <c r="P22">
        <f>_xlfn.RANK.EQ(M22,M$2:M$564)</f>
        <v>13</v>
      </c>
      <c r="Q22">
        <f>_xlfn.RANK.EQ(N22,N$2:N$564)</f>
        <v>32</v>
      </c>
      <c r="R22">
        <f>_xlfn.RANK.EQ(O22,O$2:O$564)</f>
        <v>56</v>
      </c>
      <c r="S22">
        <f>SUM(P22:R22)</f>
        <v>101</v>
      </c>
      <c r="T22">
        <f>_xlfn.RANK.EQ(S22,S$2:S$564, 1)</f>
        <v>21</v>
      </c>
    </row>
    <row r="23" spans="1:20" x14ac:dyDescent="0.35">
      <c r="A23" t="s">
        <v>381</v>
      </c>
      <c r="B23">
        <v>148.97</v>
      </c>
      <c r="C23">
        <v>130.96</v>
      </c>
      <c r="D23">
        <v>282.18</v>
      </c>
      <c r="E23">
        <v>1282.19</v>
      </c>
      <c r="F23">
        <v>9.9700000000000006</v>
      </c>
      <c r="G23">
        <v>2</v>
      </c>
      <c r="H23">
        <v>9</v>
      </c>
      <c r="I23">
        <v>16</v>
      </c>
      <c r="J23">
        <v>0</v>
      </c>
      <c r="K23">
        <v>1</v>
      </c>
      <c r="L23">
        <v>2</v>
      </c>
      <c r="M23" s="1">
        <f>C23/$B23-1</f>
        <v>-0.1208968248640665</v>
      </c>
      <c r="N23" s="1">
        <f>D23/$B23-1</f>
        <v>0.89420688729274356</v>
      </c>
      <c r="O23" s="1">
        <f>E23/$B23-1</f>
        <v>7.6070349734845948</v>
      </c>
      <c r="P23">
        <f>_xlfn.RANK.EQ(M23,M$2:M$564)</f>
        <v>62</v>
      </c>
      <c r="Q23">
        <f>_xlfn.RANK.EQ(N23,N$2:N$564)</f>
        <v>23</v>
      </c>
      <c r="R23">
        <f>_xlfn.RANK.EQ(O23,O$2:O$564)</f>
        <v>16</v>
      </c>
      <c r="S23">
        <f>SUM(P23:R23)</f>
        <v>101</v>
      </c>
      <c r="T23">
        <f>_xlfn.RANK.EQ(S23,S$2:S$564, 1)</f>
        <v>21</v>
      </c>
    </row>
    <row r="24" spans="1:20" x14ac:dyDescent="0.35">
      <c r="A24" t="s">
        <v>553</v>
      </c>
      <c r="B24">
        <v>6.79</v>
      </c>
      <c r="C24">
        <v>9.75</v>
      </c>
      <c r="D24">
        <v>11.54</v>
      </c>
      <c r="E24">
        <v>26.55</v>
      </c>
      <c r="F24">
        <v>11.95</v>
      </c>
      <c r="G24">
        <v>0</v>
      </c>
      <c r="H24">
        <v>1</v>
      </c>
      <c r="I24">
        <v>5</v>
      </c>
      <c r="J24">
        <v>0</v>
      </c>
      <c r="K24">
        <v>1</v>
      </c>
      <c r="L24">
        <v>2</v>
      </c>
      <c r="M24" s="1">
        <f>C24/$B24-1</f>
        <v>0.43593519882179677</v>
      </c>
      <c r="N24" s="1">
        <f>D24/$B24-1</f>
        <v>0.69955817378497787</v>
      </c>
      <c r="O24" s="1">
        <f>E24/$B24-1</f>
        <v>2.910162002945508</v>
      </c>
      <c r="P24">
        <f>_xlfn.RANK.EQ(M24,M$2:M$564)</f>
        <v>18</v>
      </c>
      <c r="Q24">
        <f>_xlfn.RANK.EQ(N24,N$2:N$564)</f>
        <v>31</v>
      </c>
      <c r="R24">
        <f>_xlfn.RANK.EQ(O24,O$2:O$564)</f>
        <v>61</v>
      </c>
      <c r="S24">
        <f>SUM(P24:R24)</f>
        <v>110</v>
      </c>
      <c r="T24">
        <f>_xlfn.RANK.EQ(S24,S$2:S$564, 1)</f>
        <v>23</v>
      </c>
    </row>
    <row r="25" spans="1:20" x14ac:dyDescent="0.35">
      <c r="A25" t="s">
        <v>156</v>
      </c>
      <c r="B25">
        <v>29.6</v>
      </c>
      <c r="C25">
        <v>51.88</v>
      </c>
      <c r="D25">
        <v>53.35</v>
      </c>
      <c r="E25">
        <v>100.51</v>
      </c>
      <c r="F25">
        <v>11.65</v>
      </c>
      <c r="G25">
        <v>-3</v>
      </c>
      <c r="H25">
        <v>1</v>
      </c>
      <c r="I25">
        <v>5</v>
      </c>
      <c r="J25">
        <v>0</v>
      </c>
      <c r="K25">
        <v>1</v>
      </c>
      <c r="L25">
        <v>2</v>
      </c>
      <c r="M25" s="1">
        <f>C25/$B25-1</f>
        <v>0.75270270270270268</v>
      </c>
      <c r="N25" s="1">
        <f>D25/$B25-1</f>
        <v>0.80236486486486491</v>
      </c>
      <c r="O25" s="1">
        <f>E25/$B25-1</f>
        <v>2.395608108108108</v>
      </c>
      <c r="P25">
        <f>_xlfn.RANK.EQ(M25,M$2:M$564)</f>
        <v>11</v>
      </c>
      <c r="Q25">
        <f>_xlfn.RANK.EQ(N25,N$2:N$564)</f>
        <v>27</v>
      </c>
      <c r="R25">
        <f>_xlfn.RANK.EQ(O25,O$2:O$564)</f>
        <v>74</v>
      </c>
      <c r="S25">
        <f>SUM(P25:R25)</f>
        <v>112</v>
      </c>
      <c r="T25">
        <f>_xlfn.RANK.EQ(S25,S$2:S$564, 1)</f>
        <v>24</v>
      </c>
    </row>
    <row r="26" spans="1:20" x14ac:dyDescent="0.35">
      <c r="A26" t="s">
        <v>493</v>
      </c>
      <c r="B26">
        <v>80.819999999999993</v>
      </c>
      <c r="C26">
        <v>145.51</v>
      </c>
      <c r="D26">
        <v>174.84</v>
      </c>
      <c r="E26">
        <v>249.89</v>
      </c>
      <c r="F26">
        <v>9.74</v>
      </c>
      <c r="G26">
        <v>1</v>
      </c>
      <c r="H26">
        <v>2</v>
      </c>
      <c r="I26">
        <v>5</v>
      </c>
      <c r="J26">
        <v>1</v>
      </c>
      <c r="K26">
        <v>5</v>
      </c>
      <c r="L26">
        <v>9</v>
      </c>
      <c r="M26" s="1">
        <f>C26/$B26-1</f>
        <v>0.80042068794852761</v>
      </c>
      <c r="N26" s="1">
        <f>D26/$B26-1</f>
        <v>1.1633259094283597</v>
      </c>
      <c r="O26" s="1">
        <f>E26/$B26-1</f>
        <v>2.0919326899282358</v>
      </c>
      <c r="P26">
        <f>_xlfn.RANK.EQ(M26,M$2:M$564)</f>
        <v>8</v>
      </c>
      <c r="Q26">
        <f>_xlfn.RANK.EQ(N26,N$2:N$564)</f>
        <v>17</v>
      </c>
      <c r="R26">
        <f>_xlfn.RANK.EQ(O26,O$2:O$564)</f>
        <v>94</v>
      </c>
      <c r="S26">
        <f>SUM(P26:R26)</f>
        <v>119</v>
      </c>
      <c r="T26">
        <f>_xlfn.RANK.EQ(S26,S$2:S$564, 1)</f>
        <v>25</v>
      </c>
    </row>
    <row r="27" spans="1:20" x14ac:dyDescent="0.35">
      <c r="A27" t="s">
        <v>551</v>
      </c>
      <c r="B27">
        <v>153.66</v>
      </c>
      <c r="C27">
        <v>107.33</v>
      </c>
      <c r="D27">
        <v>369.63</v>
      </c>
      <c r="E27">
        <v>2309.2800000000002</v>
      </c>
      <c r="F27">
        <v>7.7</v>
      </c>
      <c r="G27">
        <v>2</v>
      </c>
      <c r="H27">
        <v>10</v>
      </c>
      <c r="I27">
        <v>18</v>
      </c>
      <c r="J27">
        <v>0</v>
      </c>
      <c r="K27">
        <v>2</v>
      </c>
      <c r="L27">
        <v>4</v>
      </c>
      <c r="M27" s="1">
        <f>C27/$B27-1</f>
        <v>-0.30150982689053751</v>
      </c>
      <c r="N27" s="1">
        <f>D27/$B27-1</f>
        <v>1.4055056618508397</v>
      </c>
      <c r="O27" s="1">
        <f>E27/$B27-1</f>
        <v>14.028504490433425</v>
      </c>
      <c r="P27">
        <f>_xlfn.RANK.EQ(M27,M$2:M$564)</f>
        <v>101</v>
      </c>
      <c r="Q27">
        <f>_xlfn.RANK.EQ(N27,N$2:N$564)</f>
        <v>11</v>
      </c>
      <c r="R27">
        <f>_xlfn.RANK.EQ(O27,O$2:O$564)</f>
        <v>7</v>
      </c>
      <c r="S27">
        <f>SUM(P27:R27)</f>
        <v>119</v>
      </c>
      <c r="T27">
        <f>_xlfn.RANK.EQ(S27,S$2:S$564, 1)</f>
        <v>25</v>
      </c>
    </row>
    <row r="28" spans="1:20" x14ac:dyDescent="0.35">
      <c r="A28" t="s">
        <v>350</v>
      </c>
      <c r="B28">
        <v>11.16</v>
      </c>
      <c r="C28">
        <v>8.7899999999999991</v>
      </c>
      <c r="D28">
        <v>20.41</v>
      </c>
      <c r="E28">
        <v>106.15</v>
      </c>
      <c r="F28">
        <v>9.6199999999999992</v>
      </c>
      <c r="G28">
        <v>2</v>
      </c>
      <c r="H28">
        <v>10</v>
      </c>
      <c r="I28">
        <v>18</v>
      </c>
      <c r="J28">
        <v>0</v>
      </c>
      <c r="K28">
        <v>0</v>
      </c>
      <c r="L28">
        <v>2</v>
      </c>
      <c r="M28" s="1">
        <f>C28/$B28-1</f>
        <v>-0.2123655913978495</v>
      </c>
      <c r="N28" s="1">
        <f>D28/$B28-1</f>
        <v>0.82885304659498216</v>
      </c>
      <c r="O28" s="1">
        <f>E28/$B28-1</f>
        <v>8.5116487455197145</v>
      </c>
      <c r="P28">
        <f>_xlfn.RANK.EQ(M28,M$2:M$564)</f>
        <v>80</v>
      </c>
      <c r="Q28">
        <f>_xlfn.RANK.EQ(N28,N$2:N$564)</f>
        <v>26</v>
      </c>
      <c r="R28">
        <f>_xlfn.RANK.EQ(O28,O$2:O$564)</f>
        <v>13</v>
      </c>
      <c r="S28">
        <f>SUM(P28:R28)</f>
        <v>119</v>
      </c>
      <c r="T28">
        <f>_xlfn.RANK.EQ(S28,S$2:S$564, 1)</f>
        <v>25</v>
      </c>
    </row>
    <row r="29" spans="1:20" x14ac:dyDescent="0.35">
      <c r="A29" t="s">
        <v>17</v>
      </c>
      <c r="B29">
        <v>33.67</v>
      </c>
      <c r="C29">
        <v>44.45</v>
      </c>
      <c r="D29">
        <v>59.49</v>
      </c>
      <c r="E29">
        <v>122.97</v>
      </c>
      <c r="F29">
        <v>10.63</v>
      </c>
      <c r="G29">
        <v>1</v>
      </c>
      <c r="H29">
        <v>3</v>
      </c>
      <c r="I29">
        <v>5</v>
      </c>
      <c r="J29">
        <v>0</v>
      </c>
      <c r="K29">
        <v>1</v>
      </c>
      <c r="L29">
        <v>2</v>
      </c>
      <c r="M29" s="1">
        <f>C29/$B29-1</f>
        <v>0.32016632016632007</v>
      </c>
      <c r="N29" s="1">
        <f>D29/$B29-1</f>
        <v>0.76685476685476672</v>
      </c>
      <c r="O29" s="1">
        <f>E29/$B29-1</f>
        <v>2.6522126522126519</v>
      </c>
      <c r="P29">
        <f>_xlfn.RANK.EQ(M29,M$2:M$564)</f>
        <v>25</v>
      </c>
      <c r="Q29">
        <f>_xlfn.RANK.EQ(N29,N$2:N$564)</f>
        <v>28</v>
      </c>
      <c r="R29">
        <f>_xlfn.RANK.EQ(O29,O$2:O$564)</f>
        <v>67</v>
      </c>
      <c r="S29">
        <f>SUM(P29:R29)</f>
        <v>120</v>
      </c>
      <c r="T29">
        <f>_xlfn.RANK.EQ(S29,S$2:S$564, 1)</f>
        <v>28</v>
      </c>
    </row>
    <row r="30" spans="1:20" x14ac:dyDescent="0.35">
      <c r="A30" t="s">
        <v>288</v>
      </c>
      <c r="B30">
        <v>81.55</v>
      </c>
      <c r="C30">
        <v>66.02</v>
      </c>
      <c r="D30">
        <v>139.87</v>
      </c>
      <c r="E30">
        <v>719.42</v>
      </c>
      <c r="F30">
        <v>10.06</v>
      </c>
      <c r="G30">
        <v>2</v>
      </c>
      <c r="H30">
        <v>10</v>
      </c>
      <c r="I30">
        <v>18</v>
      </c>
      <c r="J30">
        <v>0</v>
      </c>
      <c r="K30">
        <v>0</v>
      </c>
      <c r="L30">
        <v>2</v>
      </c>
      <c r="M30" s="1">
        <f>C30/$B30-1</f>
        <v>-0.19043531575720418</v>
      </c>
      <c r="N30" s="1">
        <f>D30/$B30-1</f>
        <v>0.71514408338442692</v>
      </c>
      <c r="O30" s="1">
        <f>E30/$B30-1</f>
        <v>7.8218270999386874</v>
      </c>
      <c r="P30">
        <f>_xlfn.RANK.EQ(M30,M$2:M$564)</f>
        <v>75</v>
      </c>
      <c r="Q30">
        <f>_xlfn.RANK.EQ(N30,N$2:N$564)</f>
        <v>30</v>
      </c>
      <c r="R30">
        <f>_xlfn.RANK.EQ(O30,O$2:O$564)</f>
        <v>15</v>
      </c>
      <c r="S30">
        <f>SUM(P30:R30)</f>
        <v>120</v>
      </c>
      <c r="T30">
        <f>_xlfn.RANK.EQ(S30,S$2:S$564, 1)</f>
        <v>28</v>
      </c>
    </row>
    <row r="31" spans="1:20" x14ac:dyDescent="0.35">
      <c r="A31" t="s">
        <v>126</v>
      </c>
      <c r="B31">
        <v>11.68</v>
      </c>
      <c r="C31">
        <v>16.399999999999999</v>
      </c>
      <c r="D31">
        <v>18.920000000000002</v>
      </c>
      <c r="E31">
        <v>41.32</v>
      </c>
      <c r="F31">
        <v>12.66</v>
      </c>
      <c r="G31">
        <v>0</v>
      </c>
      <c r="H31">
        <v>2</v>
      </c>
      <c r="I31">
        <v>5</v>
      </c>
      <c r="J31">
        <v>0</v>
      </c>
      <c r="K31">
        <v>0</v>
      </c>
      <c r="L31">
        <v>2</v>
      </c>
      <c r="M31" s="1">
        <f>C31/$B31-1</f>
        <v>0.40410958904109573</v>
      </c>
      <c r="N31" s="1">
        <f>D31/$B31-1</f>
        <v>0.61986301369863028</v>
      </c>
      <c r="O31" s="1">
        <f>E31/$B31-1</f>
        <v>2.5376712328767126</v>
      </c>
      <c r="P31">
        <f>_xlfn.RANK.EQ(M31,M$2:M$564)</f>
        <v>21</v>
      </c>
      <c r="Q31">
        <f>_xlfn.RANK.EQ(N31,N$2:N$564)</f>
        <v>34</v>
      </c>
      <c r="R31">
        <f>_xlfn.RANK.EQ(O31,O$2:O$564)</f>
        <v>70</v>
      </c>
      <c r="S31">
        <f>SUM(P31:R31)</f>
        <v>125</v>
      </c>
      <c r="T31">
        <f>_xlfn.RANK.EQ(S31,S$2:S$564, 1)</f>
        <v>30</v>
      </c>
    </row>
    <row r="32" spans="1:20" x14ac:dyDescent="0.35">
      <c r="A32" t="s">
        <v>558</v>
      </c>
      <c r="B32">
        <v>6.78</v>
      </c>
      <c r="C32">
        <v>9.4</v>
      </c>
      <c r="D32">
        <v>9.6999999999999993</v>
      </c>
      <c r="E32">
        <v>27.01</v>
      </c>
      <c r="F32">
        <v>13.08</v>
      </c>
      <c r="G32">
        <v>-3</v>
      </c>
      <c r="H32">
        <v>1</v>
      </c>
      <c r="I32">
        <v>5</v>
      </c>
      <c r="J32">
        <v>0</v>
      </c>
      <c r="K32">
        <v>0</v>
      </c>
      <c r="L32">
        <v>2</v>
      </c>
      <c r="M32" s="1">
        <f>C32/$B32-1</f>
        <v>0.3864306784660767</v>
      </c>
      <c r="N32" s="1">
        <f>D32/$B32-1</f>
        <v>0.43067846607669602</v>
      </c>
      <c r="O32" s="1">
        <f>E32/$B32-1</f>
        <v>2.9837758112094397</v>
      </c>
      <c r="P32">
        <f>_xlfn.RANK.EQ(M32,M$2:M$564)</f>
        <v>22</v>
      </c>
      <c r="Q32">
        <f>_xlfn.RANK.EQ(N32,N$2:N$564)</f>
        <v>49</v>
      </c>
      <c r="R32">
        <f>_xlfn.RANK.EQ(O32,O$2:O$564)</f>
        <v>58</v>
      </c>
      <c r="S32">
        <f>SUM(P32:R32)</f>
        <v>129</v>
      </c>
      <c r="T32">
        <f>_xlfn.RANK.EQ(S32,S$2:S$564, 1)</f>
        <v>31</v>
      </c>
    </row>
    <row r="33" spans="1:20" x14ac:dyDescent="0.35">
      <c r="A33" t="s">
        <v>112</v>
      </c>
      <c r="B33">
        <v>24.54</v>
      </c>
      <c r="C33">
        <v>20.57</v>
      </c>
      <c r="D33">
        <v>37.93</v>
      </c>
      <c r="E33">
        <v>187.52</v>
      </c>
      <c r="F33">
        <v>10.7</v>
      </c>
      <c r="G33">
        <v>2</v>
      </c>
      <c r="H33">
        <v>10</v>
      </c>
      <c r="I33">
        <v>18</v>
      </c>
      <c r="J33">
        <v>0</v>
      </c>
      <c r="K33">
        <v>1</v>
      </c>
      <c r="L33">
        <v>2</v>
      </c>
      <c r="M33" s="1">
        <f>C33/$B33-1</f>
        <v>-0.16177669111654436</v>
      </c>
      <c r="N33" s="1">
        <f>D33/$B33-1</f>
        <v>0.54563977180114098</v>
      </c>
      <c r="O33" s="1">
        <f>E33/$B33-1</f>
        <v>6.6414017929910356</v>
      </c>
      <c r="P33">
        <f>_xlfn.RANK.EQ(M33,M$2:M$564)</f>
        <v>68</v>
      </c>
      <c r="Q33">
        <f>_xlfn.RANK.EQ(N33,N$2:N$564)</f>
        <v>38</v>
      </c>
      <c r="R33">
        <f>_xlfn.RANK.EQ(O33,O$2:O$564)</f>
        <v>23</v>
      </c>
      <c r="S33">
        <f>SUM(P33:R33)</f>
        <v>129</v>
      </c>
      <c r="T33">
        <f>_xlfn.RANK.EQ(S33,S$2:S$564, 1)</f>
        <v>31</v>
      </c>
    </row>
    <row r="34" spans="1:20" x14ac:dyDescent="0.35">
      <c r="A34" t="s">
        <v>468</v>
      </c>
      <c r="B34">
        <v>278.93</v>
      </c>
      <c r="C34">
        <v>393.13</v>
      </c>
      <c r="D34">
        <v>485.54</v>
      </c>
      <c r="E34">
        <v>887.75</v>
      </c>
      <c r="F34">
        <v>9.5299999999999994</v>
      </c>
      <c r="G34">
        <v>1</v>
      </c>
      <c r="H34">
        <v>5</v>
      </c>
      <c r="I34">
        <v>10</v>
      </c>
      <c r="J34">
        <v>1</v>
      </c>
      <c r="K34">
        <v>5</v>
      </c>
      <c r="L34">
        <v>9</v>
      </c>
      <c r="M34" s="1">
        <f>C34/$B34-1</f>
        <v>0.40942171871078759</v>
      </c>
      <c r="N34" s="1">
        <f>D34/$B34-1</f>
        <v>0.74072347900907043</v>
      </c>
      <c r="O34" s="1">
        <f>E34/$B34-1</f>
        <v>2.1826981679991393</v>
      </c>
      <c r="P34">
        <f>_xlfn.RANK.EQ(M34,M$2:M$564)</f>
        <v>20</v>
      </c>
      <c r="Q34">
        <f>_xlfn.RANK.EQ(N34,N$2:N$564)</f>
        <v>29</v>
      </c>
      <c r="R34">
        <f>_xlfn.RANK.EQ(O34,O$2:O$564)</f>
        <v>89</v>
      </c>
      <c r="S34">
        <f>SUM(P34:R34)</f>
        <v>138</v>
      </c>
      <c r="T34">
        <f>_xlfn.RANK.EQ(S34,S$2:S$564, 1)</f>
        <v>33</v>
      </c>
    </row>
    <row r="35" spans="1:20" x14ac:dyDescent="0.35">
      <c r="A35" t="s">
        <v>349</v>
      </c>
      <c r="B35">
        <v>28.06</v>
      </c>
      <c r="C35">
        <v>21.58</v>
      </c>
      <c r="D35">
        <v>42.28</v>
      </c>
      <c r="E35">
        <v>219.79</v>
      </c>
      <c r="F35">
        <v>10.7</v>
      </c>
      <c r="G35">
        <v>2</v>
      </c>
      <c r="H35">
        <v>10</v>
      </c>
      <c r="I35">
        <v>18</v>
      </c>
      <c r="J35">
        <v>0</v>
      </c>
      <c r="K35">
        <v>0</v>
      </c>
      <c r="L35">
        <v>2</v>
      </c>
      <c r="M35" s="1">
        <f>C35/$B35-1</f>
        <v>-0.23093371347113334</v>
      </c>
      <c r="N35" s="1">
        <f>D35/$B35-1</f>
        <v>0.5067712045616537</v>
      </c>
      <c r="O35" s="1">
        <f>E35/$B35-1</f>
        <v>6.8328581610833927</v>
      </c>
      <c r="P35">
        <f>_xlfn.RANK.EQ(M35,M$2:M$564)</f>
        <v>82</v>
      </c>
      <c r="Q35">
        <f>_xlfn.RANK.EQ(N35,N$2:N$564)</f>
        <v>39</v>
      </c>
      <c r="R35">
        <f>_xlfn.RANK.EQ(O35,O$2:O$564)</f>
        <v>20</v>
      </c>
      <c r="S35">
        <f>SUM(P35:R35)</f>
        <v>141</v>
      </c>
      <c r="T35">
        <f>_xlfn.RANK.EQ(S35,S$2:S$564, 1)</f>
        <v>34</v>
      </c>
    </row>
    <row r="36" spans="1:20" x14ac:dyDescent="0.35">
      <c r="A36" t="s">
        <v>382</v>
      </c>
      <c r="B36">
        <v>263.39999999999998</v>
      </c>
      <c r="C36">
        <v>346.16</v>
      </c>
      <c r="D36">
        <v>390.39</v>
      </c>
      <c r="E36">
        <v>898.72</v>
      </c>
      <c r="F36">
        <v>12.65</v>
      </c>
      <c r="G36">
        <v>0</v>
      </c>
      <c r="H36">
        <v>1</v>
      </c>
      <c r="I36">
        <v>5</v>
      </c>
      <c r="J36">
        <v>0</v>
      </c>
      <c r="K36">
        <v>0</v>
      </c>
      <c r="L36">
        <v>2</v>
      </c>
      <c r="M36" s="1">
        <f>C36/$B36-1</f>
        <v>0.31419893697798051</v>
      </c>
      <c r="N36" s="1">
        <f>D36/$B36-1</f>
        <v>0.48211845102505713</v>
      </c>
      <c r="O36" s="1">
        <f>E36/$B36-1</f>
        <v>2.4119969627942299</v>
      </c>
      <c r="P36">
        <f>_xlfn.RANK.EQ(M36,M$2:M$564)</f>
        <v>26</v>
      </c>
      <c r="Q36">
        <f>_xlfn.RANK.EQ(N36,N$2:N$564)</f>
        <v>43</v>
      </c>
      <c r="R36">
        <f>_xlfn.RANK.EQ(O36,O$2:O$564)</f>
        <v>73</v>
      </c>
      <c r="S36">
        <f>SUM(P36:R36)</f>
        <v>142</v>
      </c>
      <c r="T36">
        <f>_xlfn.RANK.EQ(S36,S$2:S$564, 1)</f>
        <v>35</v>
      </c>
    </row>
    <row r="37" spans="1:20" x14ac:dyDescent="0.35">
      <c r="A37" t="s">
        <v>565</v>
      </c>
      <c r="B37">
        <v>24.73</v>
      </c>
      <c r="C37">
        <v>16.38</v>
      </c>
      <c r="D37">
        <v>45.24</v>
      </c>
      <c r="E37">
        <v>243.36</v>
      </c>
      <c r="F37">
        <v>7.9</v>
      </c>
      <c r="G37">
        <v>2</v>
      </c>
      <c r="H37">
        <v>10</v>
      </c>
      <c r="I37">
        <v>18</v>
      </c>
      <c r="J37">
        <v>0</v>
      </c>
      <c r="K37">
        <v>1</v>
      </c>
      <c r="L37">
        <v>2</v>
      </c>
      <c r="M37" s="1">
        <f>C37/$B37-1</f>
        <v>-0.33764658309745255</v>
      </c>
      <c r="N37" s="1">
        <f>D37/$B37-1</f>
        <v>0.82935705620703604</v>
      </c>
      <c r="O37" s="1">
        <f>E37/$B37-1</f>
        <v>8.8406793368378498</v>
      </c>
      <c r="P37">
        <f>_xlfn.RANK.EQ(M37,M$2:M$564)</f>
        <v>115</v>
      </c>
      <c r="Q37">
        <f>_xlfn.RANK.EQ(N37,N$2:N$564)</f>
        <v>25</v>
      </c>
      <c r="R37">
        <f>_xlfn.RANK.EQ(O37,O$2:O$564)</f>
        <v>12</v>
      </c>
      <c r="S37">
        <f>SUM(P37:R37)</f>
        <v>152</v>
      </c>
      <c r="T37">
        <f>_xlfn.RANK.EQ(S37,S$2:S$564, 1)</f>
        <v>36</v>
      </c>
    </row>
    <row r="38" spans="1:20" x14ac:dyDescent="0.35">
      <c r="A38" t="s">
        <v>189</v>
      </c>
      <c r="B38">
        <v>196.13</v>
      </c>
      <c r="C38">
        <v>251.42</v>
      </c>
      <c r="D38">
        <v>307.91000000000003</v>
      </c>
      <c r="E38">
        <v>613.08000000000004</v>
      </c>
      <c r="F38">
        <v>11.78</v>
      </c>
      <c r="G38">
        <v>1</v>
      </c>
      <c r="H38">
        <v>3</v>
      </c>
      <c r="I38">
        <v>5</v>
      </c>
      <c r="J38">
        <v>0</v>
      </c>
      <c r="K38">
        <v>0</v>
      </c>
      <c r="L38">
        <v>2</v>
      </c>
      <c r="M38" s="1">
        <f>C38/$B38-1</f>
        <v>0.28190485902207718</v>
      </c>
      <c r="N38" s="1">
        <f>D38/$B38-1</f>
        <v>0.56992810890735757</v>
      </c>
      <c r="O38" s="1">
        <f>E38/$B38-1</f>
        <v>2.1258858920104013</v>
      </c>
      <c r="P38">
        <f>_xlfn.RANK.EQ(M38,M$2:M$564)</f>
        <v>31</v>
      </c>
      <c r="Q38">
        <f>_xlfn.RANK.EQ(N38,N$2:N$564)</f>
        <v>37</v>
      </c>
      <c r="R38">
        <f>_xlfn.RANK.EQ(O38,O$2:O$564)</f>
        <v>92</v>
      </c>
      <c r="S38">
        <f>SUM(P38:R38)</f>
        <v>160</v>
      </c>
      <c r="T38">
        <f>_xlfn.RANK.EQ(S38,S$2:S$564, 1)</f>
        <v>37</v>
      </c>
    </row>
    <row r="39" spans="1:20" x14ac:dyDescent="0.35">
      <c r="A39" t="s">
        <v>411</v>
      </c>
      <c r="B39">
        <v>191.72</v>
      </c>
      <c r="C39">
        <v>174.81</v>
      </c>
      <c r="D39">
        <v>267.25</v>
      </c>
      <c r="E39">
        <v>842.84</v>
      </c>
      <c r="F39">
        <v>11.66</v>
      </c>
      <c r="G39">
        <v>1</v>
      </c>
      <c r="H39">
        <v>5</v>
      </c>
      <c r="I39">
        <v>9</v>
      </c>
      <c r="J39">
        <v>0</v>
      </c>
      <c r="K39">
        <v>0</v>
      </c>
      <c r="L39">
        <v>2</v>
      </c>
      <c r="M39" s="1">
        <f>C39/$B39-1</f>
        <v>-8.8201543918213998E-2</v>
      </c>
      <c r="N39" s="1">
        <f>D39/$B39-1</f>
        <v>0.39395994158147296</v>
      </c>
      <c r="O39" s="1">
        <f>E39/$B39-1</f>
        <v>3.3962027957437932</v>
      </c>
      <c r="P39">
        <f>_xlfn.RANK.EQ(M39,M$2:M$564)</f>
        <v>59</v>
      </c>
      <c r="Q39">
        <f>_xlfn.RANK.EQ(N39,N$2:N$564)</f>
        <v>50</v>
      </c>
      <c r="R39">
        <f>_xlfn.RANK.EQ(O39,O$2:O$564)</f>
        <v>53</v>
      </c>
      <c r="S39">
        <f>SUM(P39:R39)</f>
        <v>162</v>
      </c>
      <c r="T39">
        <f>_xlfn.RANK.EQ(S39,S$2:S$564, 1)</f>
        <v>38</v>
      </c>
    </row>
    <row r="40" spans="1:20" x14ac:dyDescent="0.35">
      <c r="A40" t="s">
        <v>522</v>
      </c>
      <c r="B40">
        <v>152.24</v>
      </c>
      <c r="C40">
        <v>105.78</v>
      </c>
      <c r="D40">
        <v>289.38</v>
      </c>
      <c r="E40">
        <v>890.26</v>
      </c>
      <c r="F40">
        <v>7.14</v>
      </c>
      <c r="G40">
        <v>-1</v>
      </c>
      <c r="H40">
        <v>1</v>
      </c>
      <c r="I40">
        <v>5</v>
      </c>
      <c r="J40">
        <v>1</v>
      </c>
      <c r="K40">
        <v>3</v>
      </c>
      <c r="L40">
        <v>5</v>
      </c>
      <c r="M40" s="1">
        <f>C40/$B40-1</f>
        <v>-0.30517603783499736</v>
      </c>
      <c r="N40" s="1">
        <f>D40/$B40-1</f>
        <v>0.90081450341565938</v>
      </c>
      <c r="O40" s="1">
        <f>E40/$B40-1</f>
        <v>4.8477404098791377</v>
      </c>
      <c r="P40">
        <f>_xlfn.RANK.EQ(M40,M$2:M$564)</f>
        <v>104</v>
      </c>
      <c r="Q40">
        <f>_xlfn.RANK.EQ(N40,N$2:N$564)</f>
        <v>22</v>
      </c>
      <c r="R40">
        <f>_xlfn.RANK.EQ(O40,O$2:O$564)</f>
        <v>37</v>
      </c>
      <c r="S40">
        <f>SUM(P40:R40)</f>
        <v>163</v>
      </c>
      <c r="T40">
        <f>_xlfn.RANK.EQ(S40,S$2:S$564, 1)</f>
        <v>39</v>
      </c>
    </row>
    <row r="41" spans="1:20" x14ac:dyDescent="0.35">
      <c r="A41" t="s">
        <v>194</v>
      </c>
      <c r="B41">
        <v>34.770000000000003</v>
      </c>
      <c r="C41">
        <v>45.46</v>
      </c>
      <c r="D41">
        <v>55.52</v>
      </c>
      <c r="E41">
        <v>103.89</v>
      </c>
      <c r="F41">
        <v>10.97</v>
      </c>
      <c r="G41">
        <v>0</v>
      </c>
      <c r="H41">
        <v>2</v>
      </c>
      <c r="I41">
        <v>5</v>
      </c>
      <c r="J41">
        <v>0</v>
      </c>
      <c r="K41">
        <v>1</v>
      </c>
      <c r="L41">
        <v>2</v>
      </c>
      <c r="M41" s="1">
        <f>C41/$B41-1</f>
        <v>0.3074489502444635</v>
      </c>
      <c r="N41" s="1">
        <f>D41/$B41-1</f>
        <v>0.59677883232671847</v>
      </c>
      <c r="O41" s="1">
        <f>E41/$B41-1</f>
        <v>1.9879206212251939</v>
      </c>
      <c r="P41">
        <f>_xlfn.RANK.EQ(M41,M$2:M$564)</f>
        <v>28</v>
      </c>
      <c r="Q41">
        <f>_xlfn.RANK.EQ(N41,N$2:N$564)</f>
        <v>35</v>
      </c>
      <c r="R41">
        <f>_xlfn.RANK.EQ(O41,O$2:O$564)</f>
        <v>103</v>
      </c>
      <c r="S41">
        <f>SUM(P41:R41)</f>
        <v>166</v>
      </c>
      <c r="T41">
        <f>_xlfn.RANK.EQ(S41,S$2:S$564, 1)</f>
        <v>40</v>
      </c>
    </row>
    <row r="42" spans="1:20" x14ac:dyDescent="0.35">
      <c r="A42" t="s">
        <v>419</v>
      </c>
      <c r="B42">
        <v>34.549999999999997</v>
      </c>
      <c r="C42">
        <v>38.770000000000003</v>
      </c>
      <c r="D42">
        <v>50.34</v>
      </c>
      <c r="E42">
        <v>112.63</v>
      </c>
      <c r="F42">
        <v>11.76</v>
      </c>
      <c r="G42">
        <v>1</v>
      </c>
      <c r="H42">
        <v>3</v>
      </c>
      <c r="I42">
        <v>5</v>
      </c>
      <c r="J42">
        <v>0</v>
      </c>
      <c r="K42">
        <v>1</v>
      </c>
      <c r="L42">
        <v>2</v>
      </c>
      <c r="M42" s="1">
        <f>C42/$B42-1</f>
        <v>0.12214182344428393</v>
      </c>
      <c r="N42" s="1">
        <f>D42/$B42-1</f>
        <v>0.45701881331403782</v>
      </c>
      <c r="O42" s="1">
        <f>E42/$B42-1</f>
        <v>2.2599131693198267</v>
      </c>
      <c r="P42">
        <f>_xlfn.RANK.EQ(M42,M$2:M$564)</f>
        <v>43</v>
      </c>
      <c r="Q42">
        <f>_xlfn.RANK.EQ(N42,N$2:N$564)</f>
        <v>45</v>
      </c>
      <c r="R42">
        <f>_xlfn.RANK.EQ(O42,O$2:O$564)</f>
        <v>80</v>
      </c>
      <c r="S42">
        <f>SUM(P42:R42)</f>
        <v>168</v>
      </c>
      <c r="T42">
        <f>_xlfn.RANK.EQ(S42,S$2:S$564, 1)</f>
        <v>41</v>
      </c>
    </row>
    <row r="43" spans="1:20" x14ac:dyDescent="0.35">
      <c r="A43" t="s">
        <v>365</v>
      </c>
      <c r="B43">
        <v>7.48</v>
      </c>
      <c r="C43">
        <v>11.87</v>
      </c>
      <c r="D43">
        <v>11.82</v>
      </c>
      <c r="E43">
        <v>19.82</v>
      </c>
      <c r="F43">
        <v>12.48</v>
      </c>
      <c r="G43">
        <v>-3</v>
      </c>
      <c r="H43">
        <v>1</v>
      </c>
      <c r="I43">
        <v>5</v>
      </c>
      <c r="J43">
        <v>0</v>
      </c>
      <c r="K43">
        <v>0</v>
      </c>
      <c r="L43">
        <v>2</v>
      </c>
      <c r="M43" s="1">
        <f>C43/$B43-1</f>
        <v>0.58689839572192493</v>
      </c>
      <c r="N43" s="1">
        <f>D43/$B43-1</f>
        <v>0.58021390374331538</v>
      </c>
      <c r="O43" s="1">
        <f>E43/$B43-1</f>
        <v>1.6497326203208553</v>
      </c>
      <c r="P43">
        <f>_xlfn.RANK.EQ(M43,M$2:M$564)</f>
        <v>14</v>
      </c>
      <c r="Q43">
        <f>_xlfn.RANK.EQ(N43,N$2:N$564)</f>
        <v>36</v>
      </c>
      <c r="R43">
        <f>_xlfn.RANK.EQ(O43,O$2:O$564)</f>
        <v>119</v>
      </c>
      <c r="S43">
        <f>SUM(P43:R43)</f>
        <v>169</v>
      </c>
      <c r="T43">
        <f>_xlfn.RANK.EQ(S43,S$2:S$564, 1)</f>
        <v>42</v>
      </c>
    </row>
    <row r="44" spans="1:20" x14ac:dyDescent="0.35">
      <c r="A44" t="s">
        <v>14</v>
      </c>
      <c r="B44">
        <v>13.34</v>
      </c>
      <c r="C44">
        <v>8.9700000000000006</v>
      </c>
      <c r="D44">
        <v>20.010000000000002</v>
      </c>
      <c r="E44">
        <v>105.52</v>
      </c>
      <c r="F44">
        <v>9.91</v>
      </c>
      <c r="G44">
        <v>2</v>
      </c>
      <c r="H44">
        <v>10</v>
      </c>
      <c r="I44">
        <v>18</v>
      </c>
      <c r="J44">
        <v>0</v>
      </c>
      <c r="K44">
        <v>1</v>
      </c>
      <c r="L44">
        <v>2</v>
      </c>
      <c r="M44" s="1">
        <f>C44/$B44-1</f>
        <v>-0.32758620689655171</v>
      </c>
      <c r="N44" s="1">
        <f>D44/$B44-1</f>
        <v>0.50000000000000022</v>
      </c>
      <c r="O44" s="1">
        <f>E44/$B44-1</f>
        <v>6.9100449775112445</v>
      </c>
      <c r="P44">
        <f>_xlfn.RANK.EQ(M44,M$2:M$564)</f>
        <v>112</v>
      </c>
      <c r="Q44">
        <f>_xlfn.RANK.EQ(N44,N$2:N$564)</f>
        <v>40</v>
      </c>
      <c r="R44">
        <f>_xlfn.RANK.EQ(O44,O$2:O$564)</f>
        <v>19</v>
      </c>
      <c r="S44">
        <f>SUM(P44:R44)</f>
        <v>171</v>
      </c>
      <c r="T44">
        <f>_xlfn.RANK.EQ(S44,S$2:S$564, 1)</f>
        <v>43</v>
      </c>
    </row>
    <row r="45" spans="1:20" x14ac:dyDescent="0.35">
      <c r="A45" t="s">
        <v>131</v>
      </c>
      <c r="B45">
        <v>16.95</v>
      </c>
      <c r="C45">
        <v>22.06</v>
      </c>
      <c r="D45">
        <v>23.01</v>
      </c>
      <c r="E45">
        <v>53.96</v>
      </c>
      <c r="F45">
        <v>12.24</v>
      </c>
      <c r="G45">
        <v>-3</v>
      </c>
      <c r="H45">
        <v>1</v>
      </c>
      <c r="I45">
        <v>5</v>
      </c>
      <c r="J45">
        <v>0</v>
      </c>
      <c r="K45">
        <v>0</v>
      </c>
      <c r="L45">
        <v>2</v>
      </c>
      <c r="M45" s="1">
        <f>C45/$B45-1</f>
        <v>0.30147492625368733</v>
      </c>
      <c r="N45" s="1">
        <f>D45/$B45-1</f>
        <v>0.35752212389380555</v>
      </c>
      <c r="O45" s="1">
        <f>E45/$B45-1</f>
        <v>2.1834808259587022</v>
      </c>
      <c r="P45">
        <f>_xlfn.RANK.EQ(M45,M$2:M$564)</f>
        <v>30</v>
      </c>
      <c r="Q45">
        <f>_xlfn.RANK.EQ(N45,N$2:N$564)</f>
        <v>53</v>
      </c>
      <c r="R45">
        <f>_xlfn.RANK.EQ(O45,O$2:O$564)</f>
        <v>88</v>
      </c>
      <c r="S45">
        <f>SUM(P45:R45)</f>
        <v>171</v>
      </c>
      <c r="T45">
        <f>_xlfn.RANK.EQ(S45,S$2:S$564, 1)</f>
        <v>43</v>
      </c>
    </row>
    <row r="46" spans="1:20" x14ac:dyDescent="0.35">
      <c r="A46" t="s">
        <v>366</v>
      </c>
      <c r="B46">
        <v>466.32</v>
      </c>
      <c r="C46">
        <v>377.36</v>
      </c>
      <c r="D46">
        <v>613.63</v>
      </c>
      <c r="E46">
        <v>2735.47</v>
      </c>
      <c r="F46">
        <v>12.68</v>
      </c>
      <c r="G46">
        <v>1</v>
      </c>
      <c r="H46">
        <v>5</v>
      </c>
      <c r="I46">
        <v>9</v>
      </c>
      <c r="J46">
        <v>0</v>
      </c>
      <c r="K46">
        <v>0</v>
      </c>
      <c r="L46">
        <v>2</v>
      </c>
      <c r="M46" s="1">
        <f>C46/$B46-1</f>
        <v>-0.19077028649854177</v>
      </c>
      <c r="N46" s="1">
        <f>D46/$B46-1</f>
        <v>0.31589895350832053</v>
      </c>
      <c r="O46" s="1">
        <f>E46/$B46-1</f>
        <v>4.8660790873220101</v>
      </c>
      <c r="P46">
        <f>_xlfn.RANK.EQ(M46,M$2:M$564)</f>
        <v>76</v>
      </c>
      <c r="Q46">
        <f>_xlfn.RANK.EQ(N46,N$2:N$564)</f>
        <v>61</v>
      </c>
      <c r="R46">
        <f>_xlfn.RANK.EQ(O46,O$2:O$564)</f>
        <v>36</v>
      </c>
      <c r="S46">
        <f>SUM(P46:R46)</f>
        <v>173</v>
      </c>
      <c r="T46">
        <f>_xlfn.RANK.EQ(S46,S$2:S$564, 1)</f>
        <v>45</v>
      </c>
    </row>
    <row r="47" spans="1:20" x14ac:dyDescent="0.35">
      <c r="A47" t="s">
        <v>110</v>
      </c>
      <c r="B47">
        <v>13.4</v>
      </c>
      <c r="C47">
        <v>12.83</v>
      </c>
      <c r="D47">
        <v>18.04</v>
      </c>
      <c r="E47">
        <v>49.25</v>
      </c>
      <c r="F47">
        <v>12.16</v>
      </c>
      <c r="G47">
        <v>1</v>
      </c>
      <c r="H47">
        <v>4</v>
      </c>
      <c r="I47">
        <v>7</v>
      </c>
      <c r="J47">
        <v>0</v>
      </c>
      <c r="K47">
        <v>1</v>
      </c>
      <c r="L47">
        <v>2</v>
      </c>
      <c r="M47" s="1">
        <f>C47/$B47-1</f>
        <v>-4.2537313432835844E-2</v>
      </c>
      <c r="N47" s="1">
        <f>D47/$B47-1</f>
        <v>0.34626865671641771</v>
      </c>
      <c r="O47" s="1">
        <f>E47/$B47-1</f>
        <v>2.6753731343283582</v>
      </c>
      <c r="P47">
        <f>_xlfn.RANK.EQ(M47,M$2:M$564)</f>
        <v>55</v>
      </c>
      <c r="Q47">
        <f>_xlfn.RANK.EQ(N47,N$2:N$564)</f>
        <v>55</v>
      </c>
      <c r="R47">
        <f>_xlfn.RANK.EQ(O47,O$2:O$564)</f>
        <v>65</v>
      </c>
      <c r="S47">
        <f>SUM(P47:R47)</f>
        <v>175</v>
      </c>
      <c r="T47">
        <f>_xlfn.RANK.EQ(S47,S$2:S$564, 1)</f>
        <v>46</v>
      </c>
    </row>
    <row r="48" spans="1:20" x14ac:dyDescent="0.35">
      <c r="A48" t="s">
        <v>24</v>
      </c>
      <c r="B48">
        <v>22.9</v>
      </c>
      <c r="C48">
        <v>30.04</v>
      </c>
      <c r="D48">
        <v>37.590000000000003</v>
      </c>
      <c r="E48">
        <v>61.24</v>
      </c>
      <c r="F48">
        <v>9.58</v>
      </c>
      <c r="G48">
        <v>0</v>
      </c>
      <c r="H48">
        <v>1</v>
      </c>
      <c r="I48">
        <v>5</v>
      </c>
      <c r="J48">
        <v>0</v>
      </c>
      <c r="K48">
        <v>2</v>
      </c>
      <c r="L48">
        <v>3</v>
      </c>
      <c r="M48" s="1">
        <f>C48/$B48-1</f>
        <v>0.31179039301310052</v>
      </c>
      <c r="N48" s="1">
        <f>D48/$B48-1</f>
        <v>0.64148471615720548</v>
      </c>
      <c r="O48" s="1">
        <f>E48/$B48-1</f>
        <v>1.6742358078602622</v>
      </c>
      <c r="P48">
        <f>_xlfn.RANK.EQ(M48,M$2:M$564)</f>
        <v>27</v>
      </c>
      <c r="Q48">
        <f>_xlfn.RANK.EQ(N48,N$2:N$564)</f>
        <v>33</v>
      </c>
      <c r="R48">
        <f>_xlfn.RANK.EQ(O48,O$2:O$564)</f>
        <v>118</v>
      </c>
      <c r="S48">
        <f>SUM(P48:R48)</f>
        <v>178</v>
      </c>
      <c r="T48">
        <f>_xlfn.RANK.EQ(S48,S$2:S$564, 1)</f>
        <v>47</v>
      </c>
    </row>
    <row r="49" spans="1:20" x14ac:dyDescent="0.35">
      <c r="A49" t="s">
        <v>195</v>
      </c>
      <c r="B49">
        <v>106.58</v>
      </c>
      <c r="C49">
        <v>129.47</v>
      </c>
      <c r="D49">
        <v>157.97</v>
      </c>
      <c r="E49">
        <v>305.91000000000003</v>
      </c>
      <c r="F49">
        <v>11.72</v>
      </c>
      <c r="G49">
        <v>1</v>
      </c>
      <c r="H49">
        <v>3</v>
      </c>
      <c r="I49">
        <v>5</v>
      </c>
      <c r="J49">
        <v>0</v>
      </c>
      <c r="K49">
        <v>1</v>
      </c>
      <c r="L49">
        <v>2</v>
      </c>
      <c r="M49" s="1">
        <f>C49/$B49-1</f>
        <v>0.21476824920247695</v>
      </c>
      <c r="N49" s="1">
        <f>D49/$B49-1</f>
        <v>0.48217301557515491</v>
      </c>
      <c r="O49" s="1">
        <f>E49/$B49-1</f>
        <v>1.8702383186338905</v>
      </c>
      <c r="P49">
        <f>_xlfn.RANK.EQ(M49,M$2:M$564)</f>
        <v>37</v>
      </c>
      <c r="Q49">
        <f>_xlfn.RANK.EQ(N49,N$2:N$564)</f>
        <v>42</v>
      </c>
      <c r="R49">
        <f>_xlfn.RANK.EQ(O49,O$2:O$564)</f>
        <v>107</v>
      </c>
      <c r="S49">
        <f>SUM(P49:R49)</f>
        <v>186</v>
      </c>
      <c r="T49">
        <f>_xlfn.RANK.EQ(S49,S$2:S$564, 1)</f>
        <v>48</v>
      </c>
    </row>
    <row r="50" spans="1:20" x14ac:dyDescent="0.35">
      <c r="A50" t="s">
        <v>409</v>
      </c>
      <c r="B50">
        <v>79.25</v>
      </c>
      <c r="C50">
        <v>49.43</v>
      </c>
      <c r="D50">
        <v>116.96</v>
      </c>
      <c r="E50">
        <v>612.27</v>
      </c>
      <c r="F50">
        <v>9.4499999999999993</v>
      </c>
      <c r="G50">
        <v>2</v>
      </c>
      <c r="H50">
        <v>10</v>
      </c>
      <c r="I50">
        <v>18</v>
      </c>
      <c r="J50">
        <v>0</v>
      </c>
      <c r="K50">
        <v>0</v>
      </c>
      <c r="L50">
        <v>2</v>
      </c>
      <c r="M50" s="1">
        <f>C50/$B50-1</f>
        <v>-0.37627760252365927</v>
      </c>
      <c r="N50" s="1">
        <f>D50/$B50-1</f>
        <v>0.47583596214511026</v>
      </c>
      <c r="O50" s="1">
        <f>E50/$B50-1</f>
        <v>6.7258044164037853</v>
      </c>
      <c r="P50">
        <f>_xlfn.RANK.EQ(M50,M$2:M$564)</f>
        <v>126</v>
      </c>
      <c r="Q50">
        <f>_xlfn.RANK.EQ(N50,N$2:N$564)</f>
        <v>44</v>
      </c>
      <c r="R50">
        <f>_xlfn.RANK.EQ(O50,O$2:O$564)</f>
        <v>21</v>
      </c>
      <c r="S50">
        <f>SUM(P50:R50)</f>
        <v>191</v>
      </c>
      <c r="T50">
        <f>_xlfn.RANK.EQ(S50,S$2:S$564, 1)</f>
        <v>49</v>
      </c>
    </row>
    <row r="51" spans="1:20" x14ac:dyDescent="0.35">
      <c r="A51" t="s">
        <v>192</v>
      </c>
      <c r="B51">
        <v>27.21</v>
      </c>
      <c r="C51">
        <v>36.479999999999997</v>
      </c>
      <c r="D51">
        <v>40.61</v>
      </c>
      <c r="E51">
        <v>68.16</v>
      </c>
      <c r="F51">
        <v>10.35</v>
      </c>
      <c r="G51">
        <v>-1</v>
      </c>
      <c r="H51">
        <v>1</v>
      </c>
      <c r="I51">
        <v>5</v>
      </c>
      <c r="J51">
        <v>0</v>
      </c>
      <c r="K51">
        <v>1</v>
      </c>
      <c r="L51">
        <v>2</v>
      </c>
      <c r="M51" s="1">
        <f>C51/$B51-1</f>
        <v>0.3406835722160968</v>
      </c>
      <c r="N51" s="1">
        <f>D51/$B51-1</f>
        <v>0.49246600514516725</v>
      </c>
      <c r="O51" s="1">
        <f>E51/$B51-1</f>
        <v>1.5049614112458651</v>
      </c>
      <c r="P51">
        <f>_xlfn.RANK.EQ(M51,M$2:M$564)</f>
        <v>23</v>
      </c>
      <c r="Q51">
        <f>_xlfn.RANK.EQ(N51,N$2:N$564)</f>
        <v>41</v>
      </c>
      <c r="R51">
        <f>_xlfn.RANK.EQ(O51,O$2:O$564)</f>
        <v>128</v>
      </c>
      <c r="S51">
        <f>SUM(P51:R51)</f>
        <v>192</v>
      </c>
      <c r="T51">
        <f>_xlfn.RANK.EQ(S51,S$2:S$564, 1)</f>
        <v>50</v>
      </c>
    </row>
    <row r="52" spans="1:20" x14ac:dyDescent="0.35">
      <c r="A52" t="s">
        <v>355</v>
      </c>
      <c r="B52">
        <v>39.15</v>
      </c>
      <c r="C52">
        <v>27.24</v>
      </c>
      <c r="D52">
        <v>57.03</v>
      </c>
      <c r="E52">
        <v>191.71</v>
      </c>
      <c r="F52">
        <v>8.68</v>
      </c>
      <c r="G52">
        <v>2</v>
      </c>
      <c r="H52">
        <v>7</v>
      </c>
      <c r="I52">
        <v>13</v>
      </c>
      <c r="J52">
        <v>0</v>
      </c>
      <c r="K52">
        <v>1</v>
      </c>
      <c r="L52">
        <v>2</v>
      </c>
      <c r="M52" s="1">
        <f>C52/$B52-1</f>
        <v>-0.30421455938697317</v>
      </c>
      <c r="N52" s="1">
        <f>D52/$B52-1</f>
        <v>0.456704980842912</v>
      </c>
      <c r="O52" s="1">
        <f>E52/$B52-1</f>
        <v>3.8968071519795657</v>
      </c>
      <c r="P52">
        <f>_xlfn.RANK.EQ(M52,M$2:M$564)</f>
        <v>103</v>
      </c>
      <c r="Q52">
        <f>_xlfn.RANK.EQ(N52,N$2:N$564)</f>
        <v>46</v>
      </c>
      <c r="R52">
        <f>_xlfn.RANK.EQ(O52,O$2:O$564)</f>
        <v>45</v>
      </c>
      <c r="S52">
        <f>SUM(P52:R52)</f>
        <v>194</v>
      </c>
      <c r="T52">
        <f>_xlfn.RANK.EQ(S52,S$2:S$564, 1)</f>
        <v>51</v>
      </c>
    </row>
    <row r="53" spans="1:20" x14ac:dyDescent="0.35">
      <c r="A53" t="s">
        <v>45</v>
      </c>
      <c r="B53">
        <v>54.87</v>
      </c>
      <c r="C53">
        <v>40.69</v>
      </c>
      <c r="D53">
        <v>79.790000000000006</v>
      </c>
      <c r="E53">
        <v>208.82</v>
      </c>
      <c r="F53">
        <v>8.57</v>
      </c>
      <c r="G53">
        <v>1</v>
      </c>
      <c r="H53">
        <v>5</v>
      </c>
      <c r="I53">
        <v>9</v>
      </c>
      <c r="J53">
        <v>0</v>
      </c>
      <c r="K53">
        <v>1</v>
      </c>
      <c r="L53">
        <v>2</v>
      </c>
      <c r="M53" s="1">
        <f>C53/$B53-1</f>
        <v>-0.25842901403316931</v>
      </c>
      <c r="N53" s="1">
        <f>D53/$B53-1</f>
        <v>0.45416438855476593</v>
      </c>
      <c r="O53" s="1">
        <f>E53/$B53-1</f>
        <v>2.8057226170949519</v>
      </c>
      <c r="P53">
        <f>_xlfn.RANK.EQ(M53,M$2:M$564)</f>
        <v>86</v>
      </c>
      <c r="Q53">
        <f>_xlfn.RANK.EQ(N53,N$2:N$564)</f>
        <v>48</v>
      </c>
      <c r="R53">
        <f>_xlfn.RANK.EQ(O53,O$2:O$564)</f>
        <v>63</v>
      </c>
      <c r="S53">
        <f>SUM(P53:R53)</f>
        <v>197</v>
      </c>
      <c r="T53">
        <f>_xlfn.RANK.EQ(S53,S$2:S$564, 1)</f>
        <v>52</v>
      </c>
    </row>
    <row r="54" spans="1:20" x14ac:dyDescent="0.35">
      <c r="A54" t="s">
        <v>284</v>
      </c>
      <c r="B54">
        <v>48.94</v>
      </c>
      <c r="C54">
        <v>50.61</v>
      </c>
      <c r="D54">
        <v>66.28</v>
      </c>
      <c r="E54">
        <v>150.38999999999999</v>
      </c>
      <c r="F54">
        <v>11.63</v>
      </c>
      <c r="G54">
        <v>1</v>
      </c>
      <c r="H54">
        <v>3</v>
      </c>
      <c r="I54">
        <v>5</v>
      </c>
      <c r="J54">
        <v>0</v>
      </c>
      <c r="K54">
        <v>1</v>
      </c>
      <c r="L54">
        <v>2</v>
      </c>
      <c r="M54" s="1">
        <f>C54/$B54-1</f>
        <v>3.412341642827954E-2</v>
      </c>
      <c r="N54" s="1">
        <f>D54/$B54-1</f>
        <v>0.35431140171638753</v>
      </c>
      <c r="O54" s="1">
        <f>E54/$B54-1</f>
        <v>2.0729464650592559</v>
      </c>
      <c r="P54">
        <f>_xlfn.RANK.EQ(M54,M$2:M$564)</f>
        <v>50</v>
      </c>
      <c r="Q54">
        <f>_xlfn.RANK.EQ(N54,N$2:N$564)</f>
        <v>54</v>
      </c>
      <c r="R54">
        <f>_xlfn.RANK.EQ(O54,O$2:O$564)</f>
        <v>97</v>
      </c>
      <c r="S54">
        <f>SUM(P54:R54)</f>
        <v>201</v>
      </c>
      <c r="T54">
        <f>_xlfn.RANK.EQ(S54,S$2:S$564, 1)</f>
        <v>53</v>
      </c>
    </row>
    <row r="55" spans="1:20" x14ac:dyDescent="0.35">
      <c r="A55" t="s">
        <v>52</v>
      </c>
      <c r="B55">
        <v>23.22</v>
      </c>
      <c r="C55">
        <v>27.3</v>
      </c>
      <c r="D55">
        <v>30.79</v>
      </c>
      <c r="E55">
        <v>64.09</v>
      </c>
      <c r="F55">
        <v>11.91</v>
      </c>
      <c r="G55">
        <v>0</v>
      </c>
      <c r="H55">
        <v>1</v>
      </c>
      <c r="I55">
        <v>5</v>
      </c>
      <c r="J55">
        <v>0</v>
      </c>
      <c r="K55">
        <v>0</v>
      </c>
      <c r="L55">
        <v>2</v>
      </c>
      <c r="M55" s="1">
        <f>C55/$B55-1</f>
        <v>0.17571059431524549</v>
      </c>
      <c r="N55" s="1">
        <f>D55/$B55-1</f>
        <v>0.32601205857019822</v>
      </c>
      <c r="O55" s="1">
        <f>E55/$B55-1</f>
        <v>1.7601205857019813</v>
      </c>
      <c r="P55">
        <f>_xlfn.RANK.EQ(M55,M$2:M$564)</f>
        <v>38</v>
      </c>
      <c r="Q55">
        <f>_xlfn.RANK.EQ(N55,N$2:N$564)</f>
        <v>56</v>
      </c>
      <c r="R55">
        <f>_xlfn.RANK.EQ(O55,O$2:O$564)</f>
        <v>112</v>
      </c>
      <c r="S55">
        <f>SUM(P55:R55)</f>
        <v>206</v>
      </c>
      <c r="T55">
        <f>_xlfn.RANK.EQ(S55,S$2:S$564, 1)</f>
        <v>54</v>
      </c>
    </row>
    <row r="56" spans="1:20" x14ac:dyDescent="0.35">
      <c r="A56" t="s">
        <v>41</v>
      </c>
      <c r="B56">
        <v>201.7</v>
      </c>
      <c r="C56">
        <v>127.44</v>
      </c>
      <c r="D56">
        <v>266.35000000000002</v>
      </c>
      <c r="E56">
        <v>1405</v>
      </c>
      <c r="F56">
        <v>10.46</v>
      </c>
      <c r="G56">
        <v>2</v>
      </c>
      <c r="H56">
        <v>10</v>
      </c>
      <c r="I56">
        <v>18</v>
      </c>
      <c r="J56">
        <v>0</v>
      </c>
      <c r="K56">
        <v>0</v>
      </c>
      <c r="L56">
        <v>2</v>
      </c>
      <c r="M56" s="1">
        <f>C56/$B56-1</f>
        <v>-0.36817055032226076</v>
      </c>
      <c r="N56" s="1">
        <f>D56/$B56-1</f>
        <v>0.32052553296975717</v>
      </c>
      <c r="O56" s="1">
        <f>E56/$B56-1</f>
        <v>5.9657907783837389</v>
      </c>
      <c r="P56">
        <f>_xlfn.RANK.EQ(M56,M$2:M$564)</f>
        <v>121</v>
      </c>
      <c r="Q56">
        <f>_xlfn.RANK.EQ(N56,N$2:N$564)</f>
        <v>59</v>
      </c>
      <c r="R56">
        <f>_xlfn.RANK.EQ(O56,O$2:O$564)</f>
        <v>28</v>
      </c>
      <c r="S56">
        <f>SUM(P56:R56)</f>
        <v>208</v>
      </c>
      <c r="T56">
        <f>_xlfn.RANK.EQ(S56,S$2:S$564, 1)</f>
        <v>55</v>
      </c>
    </row>
    <row r="57" spans="1:20" x14ac:dyDescent="0.35">
      <c r="A57" t="s">
        <v>429</v>
      </c>
      <c r="B57">
        <v>63.13</v>
      </c>
      <c r="C57">
        <v>50.19</v>
      </c>
      <c r="D57">
        <v>77.569999999999993</v>
      </c>
      <c r="E57">
        <v>250.64</v>
      </c>
      <c r="F57">
        <v>11.49</v>
      </c>
      <c r="G57">
        <v>1</v>
      </c>
      <c r="H57">
        <v>5</v>
      </c>
      <c r="I57">
        <v>10</v>
      </c>
      <c r="J57">
        <v>0</v>
      </c>
      <c r="K57">
        <v>0</v>
      </c>
      <c r="L57">
        <v>2</v>
      </c>
      <c r="M57" s="1">
        <f>C57/$B57-1</f>
        <v>-0.20497386345635993</v>
      </c>
      <c r="N57" s="1">
        <f>D57/$B57-1</f>
        <v>0.22873435767463945</v>
      </c>
      <c r="O57" s="1">
        <f>E57/$B57-1</f>
        <v>2.9702201805797559</v>
      </c>
      <c r="P57">
        <f>_xlfn.RANK.EQ(M57,M$2:M$564)</f>
        <v>79</v>
      </c>
      <c r="Q57">
        <f>_xlfn.RANK.EQ(N57,N$2:N$564)</f>
        <v>73</v>
      </c>
      <c r="R57">
        <f>_xlfn.RANK.EQ(O57,O$2:O$564)</f>
        <v>59</v>
      </c>
      <c r="S57">
        <f>SUM(P57:R57)</f>
        <v>211</v>
      </c>
      <c r="T57">
        <f>_xlfn.RANK.EQ(S57,S$2:S$564, 1)</f>
        <v>56</v>
      </c>
    </row>
    <row r="58" spans="1:20" x14ac:dyDescent="0.35">
      <c r="A58" t="s">
        <v>506</v>
      </c>
      <c r="B58">
        <v>10.67</v>
      </c>
      <c r="C58">
        <v>14.16</v>
      </c>
      <c r="D58">
        <v>14.13</v>
      </c>
      <c r="E58">
        <v>26.28</v>
      </c>
      <c r="F58">
        <v>11.46</v>
      </c>
      <c r="G58">
        <v>-3</v>
      </c>
      <c r="H58">
        <v>1</v>
      </c>
      <c r="I58">
        <v>5</v>
      </c>
      <c r="J58">
        <v>0</v>
      </c>
      <c r="K58">
        <v>0</v>
      </c>
      <c r="L58">
        <v>2</v>
      </c>
      <c r="M58" s="1">
        <f>C58/$B58-1</f>
        <v>0.32708528584817254</v>
      </c>
      <c r="N58" s="1">
        <f>D58/$B58-1</f>
        <v>0.32427366447985007</v>
      </c>
      <c r="O58" s="1">
        <f>E58/$B58-1</f>
        <v>1.462980318650422</v>
      </c>
      <c r="P58">
        <f>_xlfn.RANK.EQ(M58,M$2:M$564)</f>
        <v>24</v>
      </c>
      <c r="Q58">
        <f>_xlfn.RANK.EQ(N58,N$2:N$564)</f>
        <v>57</v>
      </c>
      <c r="R58">
        <f>_xlfn.RANK.EQ(O58,O$2:O$564)</f>
        <v>131</v>
      </c>
      <c r="S58">
        <f>SUM(P58:R58)</f>
        <v>212</v>
      </c>
      <c r="T58">
        <f>_xlfn.RANK.EQ(S58,S$2:S$564, 1)</f>
        <v>57</v>
      </c>
    </row>
    <row r="59" spans="1:20" x14ac:dyDescent="0.35">
      <c r="A59" t="s">
        <v>410</v>
      </c>
      <c r="B59">
        <v>35.57</v>
      </c>
      <c r="C59">
        <v>32.14</v>
      </c>
      <c r="D59">
        <v>45.72</v>
      </c>
      <c r="E59">
        <v>114.02</v>
      </c>
      <c r="F59">
        <v>11.16</v>
      </c>
      <c r="G59">
        <v>1</v>
      </c>
      <c r="H59">
        <v>4</v>
      </c>
      <c r="I59">
        <v>8</v>
      </c>
      <c r="J59">
        <v>0</v>
      </c>
      <c r="K59">
        <v>0</v>
      </c>
      <c r="L59">
        <v>2</v>
      </c>
      <c r="M59" s="1">
        <f>C59/$B59-1</f>
        <v>-9.6429575484959229E-2</v>
      </c>
      <c r="N59" s="1">
        <f>D59/$B59-1</f>
        <v>0.28535282541467533</v>
      </c>
      <c r="O59" s="1">
        <f>E59/$B59-1</f>
        <v>2.2055102614562831</v>
      </c>
      <c r="P59">
        <f>_xlfn.RANK.EQ(M59,M$2:M$564)</f>
        <v>60</v>
      </c>
      <c r="Q59">
        <f>_xlfn.RANK.EQ(N59,N$2:N$564)</f>
        <v>67</v>
      </c>
      <c r="R59">
        <f>_xlfn.RANK.EQ(O59,O$2:O$564)</f>
        <v>87</v>
      </c>
      <c r="S59">
        <f>SUM(P59:R59)</f>
        <v>214</v>
      </c>
      <c r="T59">
        <f>_xlfn.RANK.EQ(S59,S$2:S$564, 1)</f>
        <v>58</v>
      </c>
    </row>
    <row r="60" spans="1:20" x14ac:dyDescent="0.35">
      <c r="A60" t="s">
        <v>152</v>
      </c>
      <c r="B60">
        <v>9.66</v>
      </c>
      <c r="C60">
        <v>11.26</v>
      </c>
      <c r="D60">
        <v>12.67</v>
      </c>
      <c r="E60">
        <v>26.36</v>
      </c>
      <c r="F60">
        <v>12.77</v>
      </c>
      <c r="G60">
        <v>0</v>
      </c>
      <c r="H60">
        <v>1</v>
      </c>
      <c r="I60">
        <v>5</v>
      </c>
      <c r="J60">
        <v>0</v>
      </c>
      <c r="K60">
        <v>0</v>
      </c>
      <c r="L60">
        <v>2</v>
      </c>
      <c r="M60" s="1">
        <f>C60/$B60-1</f>
        <v>0.16563146997929601</v>
      </c>
      <c r="N60" s="1">
        <f>D60/$B60-1</f>
        <v>0.31159420289855078</v>
      </c>
      <c r="O60" s="1">
        <f>E60/$B60-1</f>
        <v>1.7287784679089024</v>
      </c>
      <c r="P60">
        <f>_xlfn.RANK.EQ(M60,M$2:M$564)</f>
        <v>39</v>
      </c>
      <c r="Q60">
        <f>_xlfn.RANK.EQ(N60,N$2:N$564)</f>
        <v>62</v>
      </c>
      <c r="R60">
        <f>_xlfn.RANK.EQ(O60,O$2:O$564)</f>
        <v>115</v>
      </c>
      <c r="S60">
        <f>SUM(P60:R60)</f>
        <v>216</v>
      </c>
      <c r="T60">
        <f>_xlfn.RANK.EQ(S60,S$2:S$564, 1)</f>
        <v>59</v>
      </c>
    </row>
    <row r="61" spans="1:20" x14ac:dyDescent="0.35">
      <c r="A61" t="s">
        <v>286</v>
      </c>
      <c r="B61">
        <v>21.08</v>
      </c>
      <c r="C61">
        <v>27.46</v>
      </c>
      <c r="D61">
        <v>27.32</v>
      </c>
      <c r="E61">
        <v>53</v>
      </c>
      <c r="F61">
        <v>12.3</v>
      </c>
      <c r="G61">
        <v>-3</v>
      </c>
      <c r="H61">
        <v>1</v>
      </c>
      <c r="I61">
        <v>5</v>
      </c>
      <c r="J61">
        <v>0</v>
      </c>
      <c r="K61">
        <v>0</v>
      </c>
      <c r="L61">
        <v>2</v>
      </c>
      <c r="M61" s="1">
        <f>C61/$B61-1</f>
        <v>0.30265654648956364</v>
      </c>
      <c r="N61" s="1">
        <f>D61/$B61-1</f>
        <v>0.29601518026565476</v>
      </c>
      <c r="O61" s="1">
        <f>E61/$B61-1</f>
        <v>1.5142314990512338</v>
      </c>
      <c r="P61">
        <f>_xlfn.RANK.EQ(M61,M$2:M$564)</f>
        <v>29</v>
      </c>
      <c r="Q61">
        <f>_xlfn.RANK.EQ(N61,N$2:N$564)</f>
        <v>66</v>
      </c>
      <c r="R61">
        <f>_xlfn.RANK.EQ(O61,O$2:O$564)</f>
        <v>127</v>
      </c>
      <c r="S61">
        <f>SUM(P61:R61)</f>
        <v>222</v>
      </c>
      <c r="T61">
        <f>_xlfn.RANK.EQ(S61,S$2:S$564, 1)</f>
        <v>60</v>
      </c>
    </row>
    <row r="62" spans="1:20" x14ac:dyDescent="0.35">
      <c r="A62" t="s">
        <v>196</v>
      </c>
      <c r="B62">
        <v>133.16999999999999</v>
      </c>
      <c r="C62">
        <v>129.19</v>
      </c>
      <c r="D62">
        <v>170.37</v>
      </c>
      <c r="E62">
        <v>403.63</v>
      </c>
      <c r="F62">
        <v>11.96</v>
      </c>
      <c r="G62">
        <v>1</v>
      </c>
      <c r="H62">
        <v>3</v>
      </c>
      <c r="I62">
        <v>5</v>
      </c>
      <c r="J62">
        <v>0</v>
      </c>
      <c r="K62">
        <v>0</v>
      </c>
      <c r="L62">
        <v>2</v>
      </c>
      <c r="M62" s="1">
        <f>C62/$B62-1</f>
        <v>-2.9886611098595695E-2</v>
      </c>
      <c r="N62" s="1">
        <f>D62/$B62-1</f>
        <v>0.2793421941878802</v>
      </c>
      <c r="O62" s="1">
        <f>E62/$B62-1</f>
        <v>2.0309378989261848</v>
      </c>
      <c r="P62">
        <f>_xlfn.RANK.EQ(M62,M$2:M$564)</f>
        <v>54</v>
      </c>
      <c r="Q62">
        <f>_xlfn.RANK.EQ(N62,N$2:N$564)</f>
        <v>69</v>
      </c>
      <c r="R62">
        <f>_xlfn.RANK.EQ(O62,O$2:O$564)</f>
        <v>99</v>
      </c>
      <c r="S62">
        <f>SUM(P62:R62)</f>
        <v>222</v>
      </c>
      <c r="T62">
        <f>_xlfn.RANK.EQ(S62,S$2:S$564, 1)</f>
        <v>60</v>
      </c>
    </row>
    <row r="63" spans="1:20" x14ac:dyDescent="0.35">
      <c r="A63" t="s">
        <v>363</v>
      </c>
      <c r="B63">
        <v>11.8</v>
      </c>
      <c r="C63">
        <v>17.3</v>
      </c>
      <c r="D63">
        <v>17.170000000000002</v>
      </c>
      <c r="E63">
        <v>24.98</v>
      </c>
      <c r="F63">
        <v>12.78</v>
      </c>
      <c r="G63">
        <v>-3</v>
      </c>
      <c r="H63">
        <v>1</v>
      </c>
      <c r="I63">
        <v>5</v>
      </c>
      <c r="J63">
        <v>0</v>
      </c>
      <c r="K63">
        <v>0</v>
      </c>
      <c r="L63">
        <v>2</v>
      </c>
      <c r="M63" s="1">
        <f>C63/$B63-1</f>
        <v>0.46610169491525411</v>
      </c>
      <c r="N63" s="1">
        <f>D63/$B63-1</f>
        <v>0.45508474576271185</v>
      </c>
      <c r="O63" s="1">
        <f>E63/$B63-1</f>
        <v>1.1169491525423729</v>
      </c>
      <c r="P63">
        <f>_xlfn.RANK.EQ(M63,M$2:M$564)</f>
        <v>17</v>
      </c>
      <c r="Q63">
        <f>_xlfn.RANK.EQ(N63,N$2:N$564)</f>
        <v>47</v>
      </c>
      <c r="R63">
        <f>_xlfn.RANK.EQ(O63,O$2:O$564)</f>
        <v>163</v>
      </c>
      <c r="S63">
        <f>SUM(P63:R63)</f>
        <v>227</v>
      </c>
      <c r="T63">
        <f>_xlfn.RANK.EQ(S63,S$2:S$564, 1)</f>
        <v>62</v>
      </c>
    </row>
    <row r="64" spans="1:20" x14ac:dyDescent="0.35">
      <c r="A64" t="s">
        <v>317</v>
      </c>
      <c r="B64">
        <v>27.08</v>
      </c>
      <c r="C64">
        <v>19.46</v>
      </c>
      <c r="D64">
        <v>30.36</v>
      </c>
      <c r="E64">
        <v>119.43</v>
      </c>
      <c r="F64">
        <v>12.58</v>
      </c>
      <c r="G64">
        <v>1</v>
      </c>
      <c r="H64">
        <v>6</v>
      </c>
      <c r="I64">
        <v>10</v>
      </c>
      <c r="J64">
        <v>0</v>
      </c>
      <c r="K64">
        <v>1</v>
      </c>
      <c r="L64">
        <v>2</v>
      </c>
      <c r="M64" s="1">
        <f>C64/$B64-1</f>
        <v>-0.28138847858197924</v>
      </c>
      <c r="N64" s="1">
        <f>D64/$B64-1</f>
        <v>0.12112259970457906</v>
      </c>
      <c r="O64" s="1">
        <f>E64/$B64-1</f>
        <v>3.410265878877401</v>
      </c>
      <c r="P64">
        <f>_xlfn.RANK.EQ(M64,M$2:M$564)</f>
        <v>91</v>
      </c>
      <c r="Q64">
        <f>_xlfn.RANK.EQ(N64,N$2:N$564)</f>
        <v>85</v>
      </c>
      <c r="R64">
        <f>_xlfn.RANK.EQ(O64,O$2:O$564)</f>
        <v>52</v>
      </c>
      <c r="S64">
        <f>SUM(P64:R64)</f>
        <v>228</v>
      </c>
      <c r="T64">
        <f>_xlfn.RANK.EQ(S64,S$2:S$564, 1)</f>
        <v>63</v>
      </c>
    </row>
    <row r="65" spans="1:20" x14ac:dyDescent="0.35">
      <c r="A65" t="s">
        <v>224</v>
      </c>
      <c r="B65">
        <v>33.06</v>
      </c>
      <c r="C65">
        <v>37.700000000000003</v>
      </c>
      <c r="D65">
        <v>42.41</v>
      </c>
      <c r="E65">
        <v>84.69</v>
      </c>
      <c r="F65">
        <v>11.73</v>
      </c>
      <c r="G65">
        <v>0</v>
      </c>
      <c r="H65">
        <v>1</v>
      </c>
      <c r="I65">
        <v>5</v>
      </c>
      <c r="J65">
        <v>0</v>
      </c>
      <c r="K65">
        <v>0</v>
      </c>
      <c r="L65">
        <v>2</v>
      </c>
      <c r="M65" s="1">
        <f>C65/$B65-1</f>
        <v>0.14035087719298245</v>
      </c>
      <c r="N65" s="1">
        <f>D65/$B65-1</f>
        <v>0.28281911675741056</v>
      </c>
      <c r="O65" s="1">
        <f>E65/$B65-1</f>
        <v>1.5617059891107075</v>
      </c>
      <c r="P65">
        <f>_xlfn.RANK.EQ(M65,M$2:M$564)</f>
        <v>40</v>
      </c>
      <c r="Q65">
        <f>_xlfn.RANK.EQ(N65,N$2:N$564)</f>
        <v>68</v>
      </c>
      <c r="R65">
        <f>_xlfn.RANK.EQ(O65,O$2:O$564)</f>
        <v>122</v>
      </c>
      <c r="S65">
        <f>SUM(P65:R65)</f>
        <v>230</v>
      </c>
      <c r="T65">
        <f>_xlfn.RANK.EQ(S65,S$2:S$564, 1)</f>
        <v>64</v>
      </c>
    </row>
    <row r="66" spans="1:20" x14ac:dyDescent="0.35">
      <c r="A66" t="s">
        <v>54</v>
      </c>
      <c r="B66">
        <v>59.87</v>
      </c>
      <c r="C66">
        <v>62.94</v>
      </c>
      <c r="D66">
        <v>76.39</v>
      </c>
      <c r="E66">
        <v>156.51</v>
      </c>
      <c r="F66">
        <v>11.45</v>
      </c>
      <c r="G66">
        <v>0</v>
      </c>
      <c r="H66">
        <v>2</v>
      </c>
      <c r="I66">
        <v>5</v>
      </c>
      <c r="J66">
        <v>0</v>
      </c>
      <c r="K66">
        <v>1</v>
      </c>
      <c r="L66">
        <v>2</v>
      </c>
      <c r="M66" s="1">
        <f>C66/$B66-1</f>
        <v>5.1277768498413145E-2</v>
      </c>
      <c r="N66" s="1">
        <f>D66/$B66-1</f>
        <v>0.27593118423250385</v>
      </c>
      <c r="O66" s="1">
        <f>E66/$B66-1</f>
        <v>1.61416402204777</v>
      </c>
      <c r="P66">
        <f>_xlfn.RANK.EQ(M66,M$2:M$564)</f>
        <v>47</v>
      </c>
      <c r="Q66">
        <f>_xlfn.RANK.EQ(N66,N$2:N$564)</f>
        <v>70</v>
      </c>
      <c r="R66">
        <f>_xlfn.RANK.EQ(O66,O$2:O$564)</f>
        <v>120</v>
      </c>
      <c r="S66">
        <f>SUM(P66:R66)</f>
        <v>237</v>
      </c>
      <c r="T66">
        <f>_xlfn.RANK.EQ(S66,S$2:S$564, 1)</f>
        <v>65</v>
      </c>
    </row>
    <row r="67" spans="1:20" x14ac:dyDescent="0.35">
      <c r="A67" t="s">
        <v>554</v>
      </c>
      <c r="B67">
        <v>19.03</v>
      </c>
      <c r="C67">
        <v>13.02</v>
      </c>
      <c r="D67">
        <v>24.67</v>
      </c>
      <c r="E67">
        <v>69.930000000000007</v>
      </c>
      <c r="F67">
        <v>8.75</v>
      </c>
      <c r="G67">
        <v>1</v>
      </c>
      <c r="H67">
        <v>6</v>
      </c>
      <c r="I67">
        <v>10</v>
      </c>
      <c r="J67">
        <v>1</v>
      </c>
      <c r="K67">
        <v>3</v>
      </c>
      <c r="L67">
        <v>4</v>
      </c>
      <c r="M67" s="1">
        <f>C67/$B67-1</f>
        <v>-0.31581713084603269</v>
      </c>
      <c r="N67" s="1">
        <f>D67/$B67-1</f>
        <v>0.2963741460851288</v>
      </c>
      <c r="O67" s="1">
        <f>E67/$B67-1</f>
        <v>2.6747241198108251</v>
      </c>
      <c r="P67">
        <f>_xlfn.RANK.EQ(M67,M$2:M$564)</f>
        <v>108</v>
      </c>
      <c r="Q67">
        <f>_xlfn.RANK.EQ(N67,N$2:N$564)</f>
        <v>65</v>
      </c>
      <c r="R67">
        <f>_xlfn.RANK.EQ(O67,O$2:O$564)</f>
        <v>66</v>
      </c>
      <c r="S67">
        <f>SUM(P67:R67)</f>
        <v>239</v>
      </c>
      <c r="T67">
        <f>_xlfn.RANK.EQ(S67,S$2:S$564, 1)</f>
        <v>66</v>
      </c>
    </row>
    <row r="68" spans="1:20" x14ac:dyDescent="0.35">
      <c r="A68" t="s">
        <v>391</v>
      </c>
      <c r="B68">
        <v>74.7</v>
      </c>
      <c r="C68">
        <v>44.22</v>
      </c>
      <c r="D68">
        <v>86.69</v>
      </c>
      <c r="E68">
        <v>524.38</v>
      </c>
      <c r="F68">
        <v>11.13</v>
      </c>
      <c r="G68">
        <v>2</v>
      </c>
      <c r="H68">
        <v>10</v>
      </c>
      <c r="I68">
        <v>18</v>
      </c>
      <c r="J68">
        <v>0</v>
      </c>
      <c r="K68">
        <v>1</v>
      </c>
      <c r="L68">
        <v>2</v>
      </c>
      <c r="M68" s="1">
        <f>C68/$B68-1</f>
        <v>-0.40803212851405624</v>
      </c>
      <c r="N68" s="1">
        <f>D68/$B68-1</f>
        <v>0.1605087014725568</v>
      </c>
      <c r="O68" s="1">
        <f>E68/$B68-1</f>
        <v>6.0198125836680054</v>
      </c>
      <c r="P68">
        <f>_xlfn.RANK.EQ(M68,M$2:M$564)</f>
        <v>134</v>
      </c>
      <c r="Q68">
        <f>_xlfn.RANK.EQ(N68,N$2:N$564)</f>
        <v>79</v>
      </c>
      <c r="R68">
        <f>_xlfn.RANK.EQ(O68,O$2:O$564)</f>
        <v>26</v>
      </c>
      <c r="S68">
        <f>SUM(P68:R68)</f>
        <v>239</v>
      </c>
      <c r="T68">
        <f>_xlfn.RANK.EQ(S68,S$2:S$564, 1)</f>
        <v>66</v>
      </c>
    </row>
    <row r="69" spans="1:20" x14ac:dyDescent="0.35">
      <c r="A69" t="s">
        <v>142</v>
      </c>
      <c r="B69">
        <v>88.41</v>
      </c>
      <c r="C69">
        <v>92.2</v>
      </c>
      <c r="D69">
        <v>116.96</v>
      </c>
      <c r="E69">
        <v>214.53</v>
      </c>
      <c r="F69">
        <v>10.9</v>
      </c>
      <c r="G69">
        <v>1</v>
      </c>
      <c r="H69">
        <v>3</v>
      </c>
      <c r="I69">
        <v>5</v>
      </c>
      <c r="J69">
        <v>0</v>
      </c>
      <c r="K69">
        <v>1</v>
      </c>
      <c r="L69">
        <v>2</v>
      </c>
      <c r="M69" s="1">
        <f>C69/$B69-1</f>
        <v>4.2868453794819628E-2</v>
      </c>
      <c r="N69" s="1">
        <f>D69/$B69-1</f>
        <v>0.32292727067073868</v>
      </c>
      <c r="O69" s="1">
        <f>E69/$B69-1</f>
        <v>1.4265354597896165</v>
      </c>
      <c r="P69">
        <f>_xlfn.RANK.EQ(M69,M$2:M$564)</f>
        <v>48</v>
      </c>
      <c r="Q69">
        <f>_xlfn.RANK.EQ(N69,N$2:N$564)</f>
        <v>58</v>
      </c>
      <c r="R69">
        <f>_xlfn.RANK.EQ(O69,O$2:O$564)</f>
        <v>134</v>
      </c>
      <c r="S69">
        <f>SUM(P69:R69)</f>
        <v>240</v>
      </c>
      <c r="T69">
        <f>_xlfn.RANK.EQ(S69,S$2:S$564, 1)</f>
        <v>68</v>
      </c>
    </row>
    <row r="70" spans="1:20" x14ac:dyDescent="0.35">
      <c r="A70" t="s">
        <v>559</v>
      </c>
      <c r="B70">
        <v>107.73</v>
      </c>
      <c r="C70">
        <v>75.27</v>
      </c>
      <c r="D70">
        <v>141.78</v>
      </c>
      <c r="E70">
        <v>350.42</v>
      </c>
      <c r="F70">
        <v>6.89</v>
      </c>
      <c r="G70">
        <v>1</v>
      </c>
      <c r="H70">
        <v>3</v>
      </c>
      <c r="I70">
        <v>6</v>
      </c>
      <c r="J70">
        <v>1</v>
      </c>
      <c r="K70">
        <v>5</v>
      </c>
      <c r="L70">
        <v>9</v>
      </c>
      <c r="M70" s="1">
        <f>C70/$B70-1</f>
        <v>-0.30130882762461719</v>
      </c>
      <c r="N70" s="1">
        <f>D70/$B70-1</f>
        <v>0.31606794764689505</v>
      </c>
      <c r="O70" s="1">
        <f>E70/$B70-1</f>
        <v>2.2527615334632878</v>
      </c>
      <c r="P70">
        <f>_xlfn.RANK.EQ(M70,M$2:M$564)</f>
        <v>100</v>
      </c>
      <c r="Q70">
        <f>_xlfn.RANK.EQ(N70,N$2:N$564)</f>
        <v>60</v>
      </c>
      <c r="R70">
        <f>_xlfn.RANK.EQ(O70,O$2:O$564)</f>
        <v>82</v>
      </c>
      <c r="S70">
        <f>SUM(P70:R70)</f>
        <v>242</v>
      </c>
      <c r="T70">
        <f>_xlfn.RANK.EQ(S70,S$2:S$564, 1)</f>
        <v>69</v>
      </c>
    </row>
    <row r="71" spans="1:20" x14ac:dyDescent="0.35">
      <c r="A71" t="s">
        <v>12</v>
      </c>
      <c r="B71">
        <v>18.34</v>
      </c>
      <c r="C71">
        <v>20.16</v>
      </c>
      <c r="D71">
        <v>23.2</v>
      </c>
      <c r="E71">
        <v>45.51</v>
      </c>
      <c r="F71">
        <v>11.23</v>
      </c>
      <c r="G71">
        <v>0</v>
      </c>
      <c r="H71">
        <v>1</v>
      </c>
      <c r="I71">
        <v>5</v>
      </c>
      <c r="J71">
        <v>0</v>
      </c>
      <c r="K71">
        <v>1</v>
      </c>
      <c r="L71">
        <v>2</v>
      </c>
      <c r="M71" s="1">
        <f>C71/$B71-1</f>
        <v>9.92366412213741E-2</v>
      </c>
      <c r="N71" s="1">
        <f>D71/$B71-1</f>
        <v>0.26499454743729545</v>
      </c>
      <c r="O71" s="1">
        <f>E71/$B71-1</f>
        <v>1.481461286804798</v>
      </c>
      <c r="P71">
        <f>_xlfn.RANK.EQ(M71,M$2:M$564)</f>
        <v>44</v>
      </c>
      <c r="Q71">
        <f>_xlfn.RANK.EQ(N71,N$2:N$564)</f>
        <v>72</v>
      </c>
      <c r="R71">
        <f>_xlfn.RANK.EQ(O71,O$2:O$564)</f>
        <v>130</v>
      </c>
      <c r="S71">
        <f>SUM(P71:R71)</f>
        <v>246</v>
      </c>
      <c r="T71">
        <f>_xlfn.RANK.EQ(S71,S$2:S$564, 1)</f>
        <v>70</v>
      </c>
    </row>
    <row r="72" spans="1:20" x14ac:dyDescent="0.35">
      <c r="A72" t="s">
        <v>466</v>
      </c>
      <c r="B72">
        <v>44.72</v>
      </c>
      <c r="C72">
        <v>31.55</v>
      </c>
      <c r="D72">
        <v>51.72</v>
      </c>
      <c r="E72">
        <v>149.36000000000001</v>
      </c>
      <c r="F72">
        <v>10.77</v>
      </c>
      <c r="G72">
        <v>1</v>
      </c>
      <c r="H72">
        <v>5</v>
      </c>
      <c r="I72">
        <v>9</v>
      </c>
      <c r="J72">
        <v>0</v>
      </c>
      <c r="K72">
        <v>0</v>
      </c>
      <c r="L72">
        <v>2</v>
      </c>
      <c r="M72" s="1">
        <f>C72/$B72-1</f>
        <v>-0.29449910554561709</v>
      </c>
      <c r="N72" s="1">
        <f>D72/$B72-1</f>
        <v>0.15652951699463324</v>
      </c>
      <c r="O72" s="1">
        <f>E72/$B72-1</f>
        <v>2.3398926654740611</v>
      </c>
      <c r="P72">
        <f>_xlfn.RANK.EQ(M72,M$2:M$564)</f>
        <v>97</v>
      </c>
      <c r="Q72">
        <f>_xlfn.RANK.EQ(N72,N$2:N$564)</f>
        <v>80</v>
      </c>
      <c r="R72">
        <f>_xlfn.RANK.EQ(O72,O$2:O$564)</f>
        <v>77</v>
      </c>
      <c r="S72">
        <f>SUM(P72:R72)</f>
        <v>254</v>
      </c>
      <c r="T72">
        <f>_xlfn.RANK.EQ(S72,S$2:S$564, 1)</f>
        <v>71</v>
      </c>
    </row>
    <row r="73" spans="1:20" x14ac:dyDescent="0.35">
      <c r="A73" t="s">
        <v>407</v>
      </c>
      <c r="B73">
        <v>92.31</v>
      </c>
      <c r="C73">
        <v>69.2</v>
      </c>
      <c r="D73">
        <v>98.92</v>
      </c>
      <c r="E73">
        <v>304.92</v>
      </c>
      <c r="F73">
        <v>11.96</v>
      </c>
      <c r="G73">
        <v>1</v>
      </c>
      <c r="H73">
        <v>5</v>
      </c>
      <c r="I73">
        <v>9</v>
      </c>
      <c r="J73">
        <v>0</v>
      </c>
      <c r="K73">
        <v>0</v>
      </c>
      <c r="L73">
        <v>2</v>
      </c>
      <c r="M73" s="1">
        <f>C73/$B73-1</f>
        <v>-0.25035207453147001</v>
      </c>
      <c r="N73" s="1">
        <f>D73/$B73-1</f>
        <v>7.1606543169754122E-2</v>
      </c>
      <c r="O73" s="1">
        <f>E73/$B73-1</f>
        <v>2.3032174195645108</v>
      </c>
      <c r="P73">
        <f>_xlfn.RANK.EQ(M73,M$2:M$564)</f>
        <v>84</v>
      </c>
      <c r="Q73">
        <f>_xlfn.RANK.EQ(N73,N$2:N$564)</f>
        <v>91</v>
      </c>
      <c r="R73">
        <f>_xlfn.RANK.EQ(O73,O$2:O$564)</f>
        <v>79</v>
      </c>
      <c r="S73">
        <f>SUM(P73:R73)</f>
        <v>254</v>
      </c>
      <c r="T73">
        <f>_xlfn.RANK.EQ(S73,S$2:S$564, 1)</f>
        <v>71</v>
      </c>
    </row>
    <row r="74" spans="1:20" x14ac:dyDescent="0.35">
      <c r="A74" t="s">
        <v>44</v>
      </c>
      <c r="B74">
        <v>38.74</v>
      </c>
      <c r="C74">
        <v>18.93</v>
      </c>
      <c r="D74">
        <v>53.67</v>
      </c>
      <c r="E74">
        <v>296.33</v>
      </c>
      <c r="F74">
        <v>8.32</v>
      </c>
      <c r="G74">
        <v>2</v>
      </c>
      <c r="H74">
        <v>10</v>
      </c>
      <c r="I74">
        <v>18</v>
      </c>
      <c r="J74">
        <v>0</v>
      </c>
      <c r="K74">
        <v>2</v>
      </c>
      <c r="L74">
        <v>3</v>
      </c>
      <c r="M74" s="1">
        <f>C74/$B74-1</f>
        <v>-0.51135776974703151</v>
      </c>
      <c r="N74" s="1">
        <f>D74/$B74-1</f>
        <v>0.38538977800722773</v>
      </c>
      <c r="O74" s="1">
        <f>E74/$B74-1</f>
        <v>6.6491997934950948</v>
      </c>
      <c r="P74">
        <f>_xlfn.RANK.EQ(M74,M$2:M$564)</f>
        <v>181</v>
      </c>
      <c r="Q74">
        <f>_xlfn.RANK.EQ(N74,N$2:N$564)</f>
        <v>52</v>
      </c>
      <c r="R74">
        <f>_xlfn.RANK.EQ(O74,O$2:O$564)</f>
        <v>22</v>
      </c>
      <c r="S74">
        <f>SUM(P74:R74)</f>
        <v>255</v>
      </c>
      <c r="T74">
        <f>_xlfn.RANK.EQ(S74,S$2:S$564, 1)</f>
        <v>73</v>
      </c>
    </row>
    <row r="75" spans="1:20" x14ac:dyDescent="0.35">
      <c r="A75" t="s">
        <v>535</v>
      </c>
      <c r="B75">
        <v>16.059999999999999</v>
      </c>
      <c r="C75">
        <v>20.47</v>
      </c>
      <c r="D75">
        <v>20.48</v>
      </c>
      <c r="E75">
        <v>35.33</v>
      </c>
      <c r="F75">
        <v>11.02</v>
      </c>
      <c r="G75">
        <v>-3</v>
      </c>
      <c r="H75">
        <v>1</v>
      </c>
      <c r="I75">
        <v>5</v>
      </c>
      <c r="J75">
        <v>0</v>
      </c>
      <c r="K75">
        <v>0</v>
      </c>
      <c r="L75">
        <v>2</v>
      </c>
      <c r="M75" s="1">
        <f>C75/$B75-1</f>
        <v>0.27459526774595266</v>
      </c>
      <c r="N75" s="1">
        <f>D75/$B75-1</f>
        <v>0.27521793275217954</v>
      </c>
      <c r="O75" s="1">
        <f>E75/$B75-1</f>
        <v>1.1998754669987548</v>
      </c>
      <c r="P75">
        <f>_xlfn.RANK.EQ(M75,M$2:M$564)</f>
        <v>32</v>
      </c>
      <c r="Q75">
        <f>_xlfn.RANK.EQ(N75,N$2:N$564)</f>
        <v>71</v>
      </c>
      <c r="R75">
        <f>_xlfn.RANK.EQ(O75,O$2:O$564)</f>
        <v>153</v>
      </c>
      <c r="S75">
        <f>SUM(P75:R75)</f>
        <v>256</v>
      </c>
      <c r="T75">
        <f>_xlfn.RANK.EQ(S75,S$2:S$564, 1)</f>
        <v>74</v>
      </c>
    </row>
    <row r="76" spans="1:20" x14ac:dyDescent="0.35">
      <c r="A76" t="s">
        <v>367</v>
      </c>
      <c r="B76">
        <v>334.06</v>
      </c>
      <c r="C76">
        <v>183.34</v>
      </c>
      <c r="D76">
        <v>361.4</v>
      </c>
      <c r="E76">
        <v>3085.78</v>
      </c>
      <c r="F76">
        <v>13.67</v>
      </c>
      <c r="G76">
        <v>2</v>
      </c>
      <c r="H76">
        <v>7</v>
      </c>
      <c r="I76">
        <v>13</v>
      </c>
      <c r="J76">
        <v>0</v>
      </c>
      <c r="K76">
        <v>0</v>
      </c>
      <c r="L76">
        <v>2</v>
      </c>
      <c r="M76" s="1">
        <f>C76/$B76-1</f>
        <v>-0.45117643537089147</v>
      </c>
      <c r="N76" s="1">
        <f>D76/$B76-1</f>
        <v>8.184158534395003E-2</v>
      </c>
      <c r="O76" s="1">
        <f>E76/$B76-1</f>
        <v>8.2372028976830514</v>
      </c>
      <c r="P76">
        <f>_xlfn.RANK.EQ(M76,M$2:M$564)</f>
        <v>153</v>
      </c>
      <c r="Q76">
        <f>_xlfn.RANK.EQ(N76,N$2:N$564)</f>
        <v>90</v>
      </c>
      <c r="R76">
        <f>_xlfn.RANK.EQ(O76,O$2:O$564)</f>
        <v>14</v>
      </c>
      <c r="S76">
        <f>SUM(P76:R76)</f>
        <v>257</v>
      </c>
      <c r="T76">
        <f>_xlfn.RANK.EQ(S76,S$2:S$564, 1)</f>
        <v>75</v>
      </c>
    </row>
    <row r="77" spans="1:20" x14ac:dyDescent="0.35">
      <c r="A77" t="s">
        <v>501</v>
      </c>
      <c r="B77">
        <v>497.08</v>
      </c>
      <c r="C77">
        <v>630.1</v>
      </c>
      <c r="D77">
        <v>691.4</v>
      </c>
      <c r="E77">
        <v>961.16</v>
      </c>
      <c r="F77">
        <v>9.57</v>
      </c>
      <c r="G77">
        <v>1</v>
      </c>
      <c r="H77">
        <v>5</v>
      </c>
      <c r="I77">
        <v>9</v>
      </c>
      <c r="J77">
        <v>1</v>
      </c>
      <c r="K77">
        <v>5</v>
      </c>
      <c r="L77">
        <v>9</v>
      </c>
      <c r="M77" s="1">
        <f>C77/$B77-1</f>
        <v>0.2676028003540678</v>
      </c>
      <c r="N77" s="1">
        <f>D77/$B77-1</f>
        <v>0.39092299026313682</v>
      </c>
      <c r="O77" s="1">
        <f>E77/$B77-1</f>
        <v>0.93361229580751592</v>
      </c>
      <c r="P77">
        <f>_xlfn.RANK.EQ(M77,M$2:M$564)</f>
        <v>33</v>
      </c>
      <c r="Q77">
        <f>_xlfn.RANK.EQ(N77,N$2:N$564)</f>
        <v>51</v>
      </c>
      <c r="R77">
        <f>_xlfn.RANK.EQ(O77,O$2:O$564)</f>
        <v>177</v>
      </c>
      <c r="S77">
        <f>SUM(P77:R77)</f>
        <v>261</v>
      </c>
      <c r="T77">
        <f>_xlfn.RANK.EQ(S77,S$2:S$564, 1)</f>
        <v>76</v>
      </c>
    </row>
    <row r="78" spans="1:20" x14ac:dyDescent="0.35">
      <c r="A78" t="s">
        <v>185</v>
      </c>
      <c r="B78">
        <v>232</v>
      </c>
      <c r="C78">
        <v>162.94999999999999</v>
      </c>
      <c r="D78">
        <v>256.86</v>
      </c>
      <c r="E78">
        <v>769.54</v>
      </c>
      <c r="F78">
        <v>11</v>
      </c>
      <c r="G78">
        <v>1</v>
      </c>
      <c r="H78">
        <v>6</v>
      </c>
      <c r="I78">
        <v>10</v>
      </c>
      <c r="J78">
        <v>0</v>
      </c>
      <c r="K78">
        <v>1</v>
      </c>
      <c r="L78">
        <v>2</v>
      </c>
      <c r="M78" s="1">
        <f>C78/$B78-1</f>
        <v>-0.29762931034482765</v>
      </c>
      <c r="N78" s="1">
        <f>D78/$B78-1</f>
        <v>0.10715517241379313</v>
      </c>
      <c r="O78" s="1">
        <f>E78/$B78-1</f>
        <v>2.3169827586206897</v>
      </c>
      <c r="P78">
        <f>_xlfn.RANK.EQ(M78,M$2:M$564)</f>
        <v>99</v>
      </c>
      <c r="Q78">
        <f>_xlfn.RANK.EQ(N78,N$2:N$564)</f>
        <v>86</v>
      </c>
      <c r="R78">
        <f>_xlfn.RANK.EQ(O78,O$2:O$564)</f>
        <v>78</v>
      </c>
      <c r="S78">
        <f>SUM(P78:R78)</f>
        <v>263</v>
      </c>
      <c r="T78">
        <f>_xlfn.RANK.EQ(S78,S$2:S$564, 1)</f>
        <v>77</v>
      </c>
    </row>
    <row r="79" spans="1:20" x14ac:dyDescent="0.35">
      <c r="A79" t="s">
        <v>282</v>
      </c>
      <c r="B79">
        <v>48.42</v>
      </c>
      <c r="C79">
        <v>50.31</v>
      </c>
      <c r="D79">
        <v>54.56</v>
      </c>
      <c r="E79">
        <v>119.15</v>
      </c>
      <c r="F79">
        <v>12.46</v>
      </c>
      <c r="G79">
        <v>-1</v>
      </c>
      <c r="H79">
        <v>1</v>
      </c>
      <c r="I79">
        <v>5</v>
      </c>
      <c r="J79">
        <v>0</v>
      </c>
      <c r="K79">
        <v>0</v>
      </c>
      <c r="L79">
        <v>2</v>
      </c>
      <c r="M79" s="1">
        <f>C79/$B79-1</f>
        <v>3.9033457249070702E-2</v>
      </c>
      <c r="N79" s="1">
        <f>D79/$B79-1</f>
        <v>0.12680710450227184</v>
      </c>
      <c r="O79" s="1">
        <f>E79/$B79-1</f>
        <v>1.4607600165220984</v>
      </c>
      <c r="P79">
        <f>_xlfn.RANK.EQ(M79,M$2:M$564)</f>
        <v>49</v>
      </c>
      <c r="Q79">
        <f>_xlfn.RANK.EQ(N79,N$2:N$564)</f>
        <v>82</v>
      </c>
      <c r="R79">
        <f>_xlfn.RANK.EQ(O79,O$2:O$564)</f>
        <v>132</v>
      </c>
      <c r="S79">
        <f>SUM(P79:R79)</f>
        <v>263</v>
      </c>
      <c r="T79">
        <f>_xlfn.RANK.EQ(S79,S$2:S$564, 1)</f>
        <v>77</v>
      </c>
    </row>
    <row r="80" spans="1:20" x14ac:dyDescent="0.35">
      <c r="A80" t="s">
        <v>169</v>
      </c>
      <c r="B80">
        <v>89.96</v>
      </c>
      <c r="C80">
        <v>88.94</v>
      </c>
      <c r="D80">
        <v>101.31</v>
      </c>
      <c r="E80">
        <v>217.74</v>
      </c>
      <c r="F80">
        <v>11.32</v>
      </c>
      <c r="G80">
        <v>-1</v>
      </c>
      <c r="H80">
        <v>1</v>
      </c>
      <c r="I80">
        <v>5</v>
      </c>
      <c r="J80">
        <v>0</v>
      </c>
      <c r="K80">
        <v>1</v>
      </c>
      <c r="L80">
        <v>2</v>
      </c>
      <c r="M80" s="1">
        <f>C80/$B80-1</f>
        <v>-1.1338372610048886E-2</v>
      </c>
      <c r="N80" s="1">
        <f>D80/$B80-1</f>
        <v>0.12616718541574046</v>
      </c>
      <c r="O80" s="1">
        <f>E80/$B80-1</f>
        <v>1.4204090706980885</v>
      </c>
      <c r="P80">
        <f>_xlfn.RANK.EQ(M80,M$2:M$564)</f>
        <v>52</v>
      </c>
      <c r="Q80">
        <f>_xlfn.RANK.EQ(N80,N$2:N$564)</f>
        <v>83</v>
      </c>
      <c r="R80">
        <f>_xlfn.RANK.EQ(O80,O$2:O$564)</f>
        <v>137</v>
      </c>
      <c r="S80">
        <f>SUM(P80:R80)</f>
        <v>272</v>
      </c>
      <c r="T80">
        <f>_xlfn.RANK.EQ(S80,S$2:S$564, 1)</f>
        <v>79</v>
      </c>
    </row>
    <row r="81" spans="1:20" x14ac:dyDescent="0.35">
      <c r="A81" t="s">
        <v>440</v>
      </c>
      <c r="B81">
        <v>61.14</v>
      </c>
      <c r="C81">
        <v>69.48</v>
      </c>
      <c r="D81">
        <v>69.97</v>
      </c>
      <c r="E81">
        <v>135.01</v>
      </c>
      <c r="F81">
        <v>11.76</v>
      </c>
      <c r="G81">
        <v>-3</v>
      </c>
      <c r="H81">
        <v>1</v>
      </c>
      <c r="I81">
        <v>5</v>
      </c>
      <c r="J81">
        <v>0</v>
      </c>
      <c r="K81">
        <v>0</v>
      </c>
      <c r="L81">
        <v>2</v>
      </c>
      <c r="M81" s="1">
        <f>C81/$B81-1</f>
        <v>0.13640824337585866</v>
      </c>
      <c r="N81" s="1">
        <f>D81/$B81-1</f>
        <v>0.14442263657180243</v>
      </c>
      <c r="O81" s="1">
        <f>E81/$B81-1</f>
        <v>1.2082106640497217</v>
      </c>
      <c r="P81">
        <f>_xlfn.RANK.EQ(M81,M$2:M$564)</f>
        <v>41</v>
      </c>
      <c r="Q81">
        <f>_xlfn.RANK.EQ(N81,N$2:N$564)</f>
        <v>81</v>
      </c>
      <c r="R81">
        <f>_xlfn.RANK.EQ(O81,O$2:O$564)</f>
        <v>152</v>
      </c>
      <c r="S81">
        <f>SUM(P81:R81)</f>
        <v>274</v>
      </c>
      <c r="T81">
        <f>_xlfn.RANK.EQ(S81,S$2:S$564, 1)</f>
        <v>80</v>
      </c>
    </row>
    <row r="82" spans="1:20" x14ac:dyDescent="0.35">
      <c r="A82" t="s">
        <v>465</v>
      </c>
      <c r="B82">
        <v>118.16</v>
      </c>
      <c r="C82">
        <v>133.1</v>
      </c>
      <c r="D82">
        <v>153.91</v>
      </c>
      <c r="E82">
        <v>240.92</v>
      </c>
      <c r="F82">
        <v>9.77</v>
      </c>
      <c r="G82">
        <v>0</v>
      </c>
      <c r="H82">
        <v>1</v>
      </c>
      <c r="I82">
        <v>5</v>
      </c>
      <c r="J82">
        <v>0</v>
      </c>
      <c r="K82">
        <v>1</v>
      </c>
      <c r="L82">
        <v>2</v>
      </c>
      <c r="M82" s="1">
        <f>C82/$B82-1</f>
        <v>0.12643872714962767</v>
      </c>
      <c r="N82" s="1">
        <f>D82/$B82-1</f>
        <v>0.30255585646580907</v>
      </c>
      <c r="O82" s="1">
        <f>E82/$B82-1</f>
        <v>1.0389302640487474</v>
      </c>
      <c r="P82">
        <f>_xlfn.RANK.EQ(M82,M$2:M$564)</f>
        <v>42</v>
      </c>
      <c r="Q82">
        <f>_xlfn.RANK.EQ(N82,N$2:N$564)</f>
        <v>63</v>
      </c>
      <c r="R82">
        <f>_xlfn.RANK.EQ(O82,O$2:O$564)</f>
        <v>171</v>
      </c>
      <c r="S82">
        <f>SUM(P82:R82)</f>
        <v>276</v>
      </c>
      <c r="T82">
        <f>_xlfn.RANK.EQ(S82,S$2:S$564, 1)</f>
        <v>81</v>
      </c>
    </row>
    <row r="83" spans="1:20" x14ac:dyDescent="0.35">
      <c r="A83" t="s">
        <v>450</v>
      </c>
      <c r="B83">
        <v>106.18</v>
      </c>
      <c r="C83">
        <v>61.54</v>
      </c>
      <c r="D83">
        <v>124.06</v>
      </c>
      <c r="E83">
        <v>400.17</v>
      </c>
      <c r="F83">
        <v>8.94</v>
      </c>
      <c r="G83">
        <v>2</v>
      </c>
      <c r="H83">
        <v>7</v>
      </c>
      <c r="I83">
        <v>12</v>
      </c>
      <c r="J83">
        <v>0</v>
      </c>
      <c r="K83">
        <v>1</v>
      </c>
      <c r="L83">
        <v>2</v>
      </c>
      <c r="M83" s="1">
        <f>C83/$B83-1</f>
        <v>-0.42041815784516867</v>
      </c>
      <c r="N83" s="1">
        <f>D83/$B83-1</f>
        <v>0.16839329440572604</v>
      </c>
      <c r="O83" s="1">
        <f>E83/$B83-1</f>
        <v>2.7687888491241286</v>
      </c>
      <c r="P83">
        <f>_xlfn.RANK.EQ(M83,M$2:M$564)</f>
        <v>140</v>
      </c>
      <c r="Q83">
        <f>_xlfn.RANK.EQ(N83,N$2:N$564)</f>
        <v>76</v>
      </c>
      <c r="R83">
        <f>_xlfn.RANK.EQ(O83,O$2:O$564)</f>
        <v>64</v>
      </c>
      <c r="S83">
        <f>SUM(P83:R83)</f>
        <v>280</v>
      </c>
      <c r="T83">
        <f>_xlfn.RANK.EQ(S83,S$2:S$564, 1)</f>
        <v>82</v>
      </c>
    </row>
    <row r="84" spans="1:20" x14ac:dyDescent="0.35">
      <c r="A84" t="s">
        <v>393</v>
      </c>
      <c r="B84">
        <v>41.72</v>
      </c>
      <c r="C84">
        <v>39.229999999999997</v>
      </c>
      <c r="D84">
        <v>49.03</v>
      </c>
      <c r="E84">
        <v>95.51</v>
      </c>
      <c r="F84">
        <v>11.13</v>
      </c>
      <c r="G84">
        <v>1</v>
      </c>
      <c r="H84">
        <v>2</v>
      </c>
      <c r="I84">
        <v>5</v>
      </c>
      <c r="J84">
        <v>0</v>
      </c>
      <c r="K84">
        <v>1</v>
      </c>
      <c r="L84">
        <v>2</v>
      </c>
      <c r="M84" s="1">
        <f>C84/$B84-1</f>
        <v>-5.9683604985618421E-2</v>
      </c>
      <c r="N84" s="1">
        <f>D84/$B84-1</f>
        <v>0.17521572387344198</v>
      </c>
      <c r="O84" s="1">
        <f>E84/$B84-1</f>
        <v>1.2893096836049858</v>
      </c>
      <c r="P84">
        <f>_xlfn.RANK.EQ(M84,M$2:M$564)</f>
        <v>58</v>
      </c>
      <c r="Q84">
        <f>_xlfn.RANK.EQ(N84,N$2:N$564)</f>
        <v>75</v>
      </c>
      <c r="R84">
        <f>_xlfn.RANK.EQ(O84,O$2:O$564)</f>
        <v>147</v>
      </c>
      <c r="S84">
        <f>SUM(P84:R84)</f>
        <v>280</v>
      </c>
      <c r="T84">
        <f>_xlfn.RANK.EQ(S84,S$2:S$564, 1)</f>
        <v>82</v>
      </c>
    </row>
    <row r="85" spans="1:20" x14ac:dyDescent="0.35">
      <c r="A85" t="s">
        <v>259</v>
      </c>
      <c r="B85">
        <v>75.87</v>
      </c>
      <c r="C85">
        <v>63.61</v>
      </c>
      <c r="D85">
        <v>93.13</v>
      </c>
      <c r="E85">
        <v>179</v>
      </c>
      <c r="F85">
        <v>8.59</v>
      </c>
      <c r="G85">
        <v>-3</v>
      </c>
      <c r="H85">
        <v>1</v>
      </c>
      <c r="I85">
        <v>5</v>
      </c>
      <c r="J85">
        <v>0</v>
      </c>
      <c r="K85">
        <v>2</v>
      </c>
      <c r="L85">
        <v>4</v>
      </c>
      <c r="M85" s="1">
        <f>C85/$B85-1</f>
        <v>-0.16159219717938589</v>
      </c>
      <c r="N85" s="1">
        <f>D85/$B85-1</f>
        <v>0.22749439831290341</v>
      </c>
      <c r="O85" s="1">
        <f>E85/$B85-1</f>
        <v>1.3592988005799391</v>
      </c>
      <c r="P85">
        <f>_xlfn.RANK.EQ(M85,M$2:M$564)</f>
        <v>67</v>
      </c>
      <c r="Q85">
        <f>_xlfn.RANK.EQ(N85,N$2:N$564)</f>
        <v>74</v>
      </c>
      <c r="R85">
        <f>_xlfn.RANK.EQ(O85,O$2:O$564)</f>
        <v>141</v>
      </c>
      <c r="S85">
        <f>SUM(P85:R85)</f>
        <v>282</v>
      </c>
      <c r="T85">
        <f>_xlfn.RANK.EQ(S85,S$2:S$564, 1)</f>
        <v>84</v>
      </c>
    </row>
    <row r="86" spans="1:20" x14ac:dyDescent="0.35">
      <c r="A86" t="s">
        <v>287</v>
      </c>
      <c r="B86">
        <v>97.66</v>
      </c>
      <c r="C86">
        <v>51.22</v>
      </c>
      <c r="D86">
        <v>109.89</v>
      </c>
      <c r="E86">
        <v>592.55999999999995</v>
      </c>
      <c r="F86">
        <v>10.26</v>
      </c>
      <c r="G86">
        <v>2</v>
      </c>
      <c r="H86">
        <v>10</v>
      </c>
      <c r="I86">
        <v>18</v>
      </c>
      <c r="J86">
        <v>0</v>
      </c>
      <c r="K86">
        <v>0</v>
      </c>
      <c r="L86">
        <v>2</v>
      </c>
      <c r="M86" s="1">
        <f>C86/$B86-1</f>
        <v>-0.4755273397501536</v>
      </c>
      <c r="N86" s="1">
        <f>D86/$B86-1</f>
        <v>0.12523039115297974</v>
      </c>
      <c r="O86" s="1">
        <f>E86/$B86-1</f>
        <v>5.0675814048740522</v>
      </c>
      <c r="P86">
        <f>_xlfn.RANK.EQ(M86,M$2:M$564)</f>
        <v>165</v>
      </c>
      <c r="Q86">
        <f>_xlfn.RANK.EQ(N86,N$2:N$564)</f>
        <v>84</v>
      </c>
      <c r="R86">
        <f>_xlfn.RANK.EQ(O86,O$2:O$564)</f>
        <v>33</v>
      </c>
      <c r="S86">
        <f>SUM(P86:R86)</f>
        <v>282</v>
      </c>
      <c r="T86">
        <f>_xlfn.RANK.EQ(S86,S$2:S$564, 1)</f>
        <v>84</v>
      </c>
    </row>
    <row r="87" spans="1:20" x14ac:dyDescent="0.35">
      <c r="A87" t="s">
        <v>167</v>
      </c>
      <c r="B87">
        <v>25.09</v>
      </c>
      <c r="C87">
        <v>24.76</v>
      </c>
      <c r="D87">
        <v>27.51</v>
      </c>
      <c r="E87">
        <v>58.37</v>
      </c>
      <c r="F87">
        <v>15.55</v>
      </c>
      <c r="G87">
        <v>-3</v>
      </c>
      <c r="H87">
        <v>1</v>
      </c>
      <c r="I87">
        <v>5</v>
      </c>
      <c r="J87">
        <v>0</v>
      </c>
      <c r="K87">
        <v>1</v>
      </c>
      <c r="L87">
        <v>2</v>
      </c>
      <c r="M87" s="1">
        <f>C87/$B87-1</f>
        <v>-1.3152650458349902E-2</v>
      </c>
      <c r="N87" s="1">
        <f>D87/$B87-1</f>
        <v>9.6452770027899648E-2</v>
      </c>
      <c r="O87" s="1">
        <f>E87/$B87-1</f>
        <v>1.3264248704663211</v>
      </c>
      <c r="P87">
        <f>_xlfn.RANK.EQ(M87,M$2:M$564)</f>
        <v>53</v>
      </c>
      <c r="Q87">
        <f>_xlfn.RANK.EQ(N87,N$2:N$564)</f>
        <v>87</v>
      </c>
      <c r="R87">
        <f>_xlfn.RANK.EQ(O87,O$2:O$564)</f>
        <v>142</v>
      </c>
      <c r="S87">
        <f>SUM(P87:R87)</f>
        <v>282</v>
      </c>
      <c r="T87">
        <f>_xlfn.RANK.EQ(S87,S$2:S$564, 1)</f>
        <v>84</v>
      </c>
    </row>
    <row r="88" spans="1:20" x14ac:dyDescent="0.35">
      <c r="A88" t="s">
        <v>379</v>
      </c>
      <c r="B88">
        <v>23.28</v>
      </c>
      <c r="C88">
        <v>23.65</v>
      </c>
      <c r="D88">
        <v>24.07</v>
      </c>
      <c r="E88">
        <v>53.57</v>
      </c>
      <c r="F88">
        <v>12.91</v>
      </c>
      <c r="G88">
        <v>-2</v>
      </c>
      <c r="H88">
        <v>1</v>
      </c>
      <c r="I88">
        <v>5</v>
      </c>
      <c r="J88">
        <v>0</v>
      </c>
      <c r="K88">
        <v>0</v>
      </c>
      <c r="L88">
        <v>2</v>
      </c>
      <c r="M88" s="1">
        <f>C88/$B88-1</f>
        <v>1.589347079037795E-2</v>
      </c>
      <c r="N88" s="1">
        <f>D88/$B88-1</f>
        <v>3.3934707903779948E-2</v>
      </c>
      <c r="O88" s="1">
        <f>E88/$B88-1</f>
        <v>1.3011168384879723</v>
      </c>
      <c r="P88">
        <f>_xlfn.RANK.EQ(M88,M$2:M$564)</f>
        <v>51</v>
      </c>
      <c r="Q88">
        <f>_xlfn.RANK.EQ(N88,N$2:N$564)</f>
        <v>96</v>
      </c>
      <c r="R88">
        <f>_xlfn.RANK.EQ(O88,O$2:O$564)</f>
        <v>144</v>
      </c>
      <c r="S88">
        <f>SUM(P88:R88)</f>
        <v>291</v>
      </c>
      <c r="T88">
        <f>_xlfn.RANK.EQ(S88,S$2:S$564, 1)</f>
        <v>87</v>
      </c>
    </row>
    <row r="89" spans="1:20" x14ac:dyDescent="0.35">
      <c r="A89" t="s">
        <v>326</v>
      </c>
      <c r="B89">
        <v>14.66</v>
      </c>
      <c r="C89">
        <v>8.1300000000000008</v>
      </c>
      <c r="D89">
        <v>14.41</v>
      </c>
      <c r="E89">
        <v>57.7</v>
      </c>
      <c r="F89">
        <v>11.18</v>
      </c>
      <c r="G89">
        <v>2</v>
      </c>
      <c r="H89">
        <v>7</v>
      </c>
      <c r="I89">
        <v>13</v>
      </c>
      <c r="J89">
        <v>0</v>
      </c>
      <c r="K89">
        <v>0</v>
      </c>
      <c r="L89">
        <v>2</v>
      </c>
      <c r="M89" s="1">
        <f>C89/$B89-1</f>
        <v>-0.44542974079126874</v>
      </c>
      <c r="N89" s="1">
        <f>D89/$B89-1</f>
        <v>-1.7053206002728527E-2</v>
      </c>
      <c r="O89" s="1">
        <f>E89/$B89-1</f>
        <v>2.9358799454297411</v>
      </c>
      <c r="P89">
        <f>_xlfn.RANK.EQ(M89,M$2:M$564)</f>
        <v>149</v>
      </c>
      <c r="Q89">
        <f>_xlfn.RANK.EQ(N89,N$2:N$564)</f>
        <v>102</v>
      </c>
      <c r="R89">
        <f>_xlfn.RANK.EQ(O89,O$2:O$564)</f>
        <v>60</v>
      </c>
      <c r="S89">
        <f>SUM(P89:R89)</f>
        <v>311</v>
      </c>
      <c r="T89">
        <f>_xlfn.RANK.EQ(S89,S$2:S$564, 1)</f>
        <v>88</v>
      </c>
    </row>
    <row r="90" spans="1:20" x14ac:dyDescent="0.35">
      <c r="A90" t="s">
        <v>335</v>
      </c>
      <c r="B90">
        <v>37.159999999999997</v>
      </c>
      <c r="C90">
        <v>24.3</v>
      </c>
      <c r="D90">
        <v>43.16</v>
      </c>
      <c r="E90">
        <v>95.25</v>
      </c>
      <c r="F90">
        <v>7.57</v>
      </c>
      <c r="G90">
        <v>1</v>
      </c>
      <c r="H90">
        <v>4</v>
      </c>
      <c r="I90">
        <v>7</v>
      </c>
      <c r="J90">
        <v>1</v>
      </c>
      <c r="K90">
        <v>3</v>
      </c>
      <c r="L90">
        <v>5</v>
      </c>
      <c r="M90" s="1">
        <f>C90/$B90-1</f>
        <v>-0.34607104413347678</v>
      </c>
      <c r="N90" s="1">
        <f>D90/$B90-1</f>
        <v>0.16146393972012918</v>
      </c>
      <c r="O90" s="1">
        <f>E90/$B90-1</f>
        <v>1.5632400430570508</v>
      </c>
      <c r="P90">
        <f>_xlfn.RANK.EQ(M90,M$2:M$564)</f>
        <v>116</v>
      </c>
      <c r="Q90">
        <f>_xlfn.RANK.EQ(N90,N$2:N$564)</f>
        <v>78</v>
      </c>
      <c r="R90">
        <f>_xlfn.RANK.EQ(O90,O$2:O$564)</f>
        <v>121</v>
      </c>
      <c r="S90">
        <f>SUM(P90:R90)</f>
        <v>315</v>
      </c>
      <c r="T90">
        <f>_xlfn.RANK.EQ(S90,S$2:S$564, 1)</f>
        <v>89</v>
      </c>
    </row>
    <row r="91" spans="1:20" x14ac:dyDescent="0.35">
      <c r="A91" t="s">
        <v>483</v>
      </c>
      <c r="B91">
        <v>109.13</v>
      </c>
      <c r="C91">
        <v>132.69999999999999</v>
      </c>
      <c r="D91">
        <v>141.96</v>
      </c>
      <c r="E91">
        <v>163.87</v>
      </c>
      <c r="F91">
        <v>9.85</v>
      </c>
      <c r="G91">
        <v>0</v>
      </c>
      <c r="H91">
        <v>1</v>
      </c>
      <c r="I91">
        <v>5</v>
      </c>
      <c r="J91">
        <v>1</v>
      </c>
      <c r="K91">
        <v>5</v>
      </c>
      <c r="L91">
        <v>9</v>
      </c>
      <c r="M91" s="1">
        <f>C91/$B91-1</f>
        <v>0.21598094016310809</v>
      </c>
      <c r="N91" s="1">
        <f>D91/$B91-1</f>
        <v>0.30083386786401545</v>
      </c>
      <c r="O91" s="1">
        <f>E91/$B91-1</f>
        <v>0.50160359204618366</v>
      </c>
      <c r="P91">
        <f>_xlfn.RANK.EQ(M91,M$2:M$564)</f>
        <v>36</v>
      </c>
      <c r="Q91">
        <f>_xlfn.RANK.EQ(N91,N$2:N$564)</f>
        <v>64</v>
      </c>
      <c r="R91">
        <f>_xlfn.RANK.EQ(O91,O$2:O$564)</f>
        <v>217</v>
      </c>
      <c r="S91">
        <f>SUM(P91:R91)</f>
        <v>317</v>
      </c>
      <c r="T91">
        <f>_xlfn.RANK.EQ(S91,S$2:S$564, 1)</f>
        <v>90</v>
      </c>
    </row>
    <row r="92" spans="1:20" x14ac:dyDescent="0.35">
      <c r="A92" t="s">
        <v>122</v>
      </c>
      <c r="B92">
        <v>405.13</v>
      </c>
      <c r="C92">
        <v>269.52999999999997</v>
      </c>
      <c r="D92">
        <v>402.6</v>
      </c>
      <c r="E92">
        <v>1123.57</v>
      </c>
      <c r="F92">
        <v>11.36</v>
      </c>
      <c r="G92">
        <v>1</v>
      </c>
      <c r="H92">
        <v>4</v>
      </c>
      <c r="I92">
        <v>8</v>
      </c>
      <c r="J92">
        <v>0</v>
      </c>
      <c r="K92">
        <v>1</v>
      </c>
      <c r="L92">
        <v>2</v>
      </c>
      <c r="M92" s="1">
        <f>C92/$B92-1</f>
        <v>-0.33470737787870564</v>
      </c>
      <c r="N92" s="1">
        <f>D92/$B92-1</f>
        <v>-6.2449090415421793E-3</v>
      </c>
      <c r="O92" s="1">
        <f>E92/$B92-1</f>
        <v>1.7733567003184163</v>
      </c>
      <c r="P92">
        <f>_xlfn.RANK.EQ(M92,M$2:M$564)</f>
        <v>114</v>
      </c>
      <c r="Q92">
        <f>_xlfn.RANK.EQ(N92,N$2:N$564)</f>
        <v>100</v>
      </c>
      <c r="R92">
        <f>_xlfn.RANK.EQ(O92,O$2:O$564)</f>
        <v>111</v>
      </c>
      <c r="S92">
        <f>SUM(P92:R92)</f>
        <v>325</v>
      </c>
      <c r="T92">
        <f>_xlfn.RANK.EQ(S92,S$2:S$564, 1)</f>
        <v>91</v>
      </c>
    </row>
    <row r="93" spans="1:20" x14ac:dyDescent="0.35">
      <c r="A93" t="s">
        <v>221</v>
      </c>
      <c r="B93">
        <v>116.96</v>
      </c>
      <c r="C93">
        <v>46.86</v>
      </c>
      <c r="D93">
        <v>136.19999999999999</v>
      </c>
      <c r="E93">
        <v>862.87</v>
      </c>
      <c r="F93">
        <v>7.2</v>
      </c>
      <c r="G93">
        <v>2</v>
      </c>
      <c r="H93">
        <v>10</v>
      </c>
      <c r="I93">
        <v>18</v>
      </c>
      <c r="J93">
        <v>0</v>
      </c>
      <c r="K93">
        <v>2</v>
      </c>
      <c r="L93">
        <v>3</v>
      </c>
      <c r="M93" s="1">
        <f>C93/$B93-1</f>
        <v>-0.59935020519835835</v>
      </c>
      <c r="N93" s="1">
        <f>D93/$B93-1</f>
        <v>0.164500683994528</v>
      </c>
      <c r="O93" s="1">
        <f>E93/$B93-1</f>
        <v>6.3774794801641592</v>
      </c>
      <c r="P93">
        <f>_xlfn.RANK.EQ(M93,M$2:M$564)</f>
        <v>226</v>
      </c>
      <c r="Q93">
        <f>_xlfn.RANK.EQ(N93,N$2:N$564)</f>
        <v>77</v>
      </c>
      <c r="R93">
        <f>_xlfn.RANK.EQ(O93,O$2:O$564)</f>
        <v>24</v>
      </c>
      <c r="S93">
        <f>SUM(P93:R93)</f>
        <v>327</v>
      </c>
      <c r="T93">
        <f>_xlfn.RANK.EQ(S93,S$2:S$564, 1)</f>
        <v>92</v>
      </c>
    </row>
    <row r="94" spans="1:20" x14ac:dyDescent="0.35">
      <c r="A94" t="s">
        <v>356</v>
      </c>
      <c r="B94">
        <v>23.28</v>
      </c>
      <c r="C94">
        <v>10.94</v>
      </c>
      <c r="D94">
        <v>23.79</v>
      </c>
      <c r="E94">
        <v>120.38</v>
      </c>
      <c r="F94">
        <v>10.35</v>
      </c>
      <c r="G94">
        <v>2</v>
      </c>
      <c r="H94">
        <v>10</v>
      </c>
      <c r="I94">
        <v>17</v>
      </c>
      <c r="J94">
        <v>0</v>
      </c>
      <c r="K94">
        <v>1</v>
      </c>
      <c r="L94">
        <v>2</v>
      </c>
      <c r="M94" s="1">
        <f>C94/$B94-1</f>
        <v>-0.53006872852233688</v>
      </c>
      <c r="N94" s="1">
        <f>D94/$B94-1</f>
        <v>2.1907216494845283E-2</v>
      </c>
      <c r="O94" s="1">
        <f>E94/$B94-1</f>
        <v>4.1709621993127142</v>
      </c>
      <c r="P94">
        <f>_xlfn.RANK.EQ(M94,M$2:M$564)</f>
        <v>188</v>
      </c>
      <c r="Q94">
        <f>_xlfn.RANK.EQ(N94,N$2:N$564)</f>
        <v>97</v>
      </c>
      <c r="R94">
        <f>_xlfn.RANK.EQ(O94,O$2:O$564)</f>
        <v>42</v>
      </c>
      <c r="S94">
        <f>SUM(P94:R94)</f>
        <v>327</v>
      </c>
      <c r="T94">
        <f>_xlfn.RANK.EQ(S94,S$2:S$564, 1)</f>
        <v>92</v>
      </c>
    </row>
    <row r="95" spans="1:20" x14ac:dyDescent="0.35">
      <c r="A95" t="s">
        <v>123</v>
      </c>
      <c r="B95">
        <v>19.93</v>
      </c>
      <c r="C95">
        <v>16.39</v>
      </c>
      <c r="D95">
        <v>20.190000000000001</v>
      </c>
      <c r="E95">
        <v>43.2</v>
      </c>
      <c r="F95">
        <v>12.41</v>
      </c>
      <c r="G95">
        <v>1</v>
      </c>
      <c r="H95">
        <v>3</v>
      </c>
      <c r="I95">
        <v>5</v>
      </c>
      <c r="J95">
        <v>0</v>
      </c>
      <c r="K95">
        <v>0</v>
      </c>
      <c r="L95">
        <v>2</v>
      </c>
      <c r="M95" s="1">
        <f>C95/$B95-1</f>
        <v>-0.17762167586552935</v>
      </c>
      <c r="N95" s="1">
        <f>D95/$B95-1</f>
        <v>1.3045659809332699E-2</v>
      </c>
      <c r="O95" s="1">
        <f>E95/$B95-1</f>
        <v>1.1675865529352736</v>
      </c>
      <c r="P95">
        <f>_xlfn.RANK.EQ(M95,M$2:M$564)</f>
        <v>71</v>
      </c>
      <c r="Q95">
        <f>_xlfn.RANK.EQ(N95,N$2:N$564)</f>
        <v>98</v>
      </c>
      <c r="R95">
        <f>_xlfn.RANK.EQ(O95,O$2:O$564)</f>
        <v>158</v>
      </c>
      <c r="S95">
        <f>SUM(P95:R95)</f>
        <v>327</v>
      </c>
      <c r="T95">
        <f>_xlfn.RANK.EQ(S95,S$2:S$564, 1)</f>
        <v>92</v>
      </c>
    </row>
    <row r="96" spans="1:20" x14ac:dyDescent="0.35">
      <c r="A96" t="s">
        <v>560</v>
      </c>
      <c r="B96">
        <v>34.909999999999997</v>
      </c>
      <c r="C96">
        <v>30.9</v>
      </c>
      <c r="D96">
        <v>34.08</v>
      </c>
      <c r="E96">
        <v>74.540000000000006</v>
      </c>
      <c r="F96">
        <v>13.15</v>
      </c>
      <c r="G96">
        <v>0</v>
      </c>
      <c r="H96">
        <v>1</v>
      </c>
      <c r="I96">
        <v>5</v>
      </c>
      <c r="J96">
        <v>0</v>
      </c>
      <c r="K96">
        <v>0</v>
      </c>
      <c r="L96">
        <v>2</v>
      </c>
      <c r="M96" s="1">
        <f>C96/$B96-1</f>
        <v>-0.11486680034374097</v>
      </c>
      <c r="N96" s="1">
        <f>D96/$B96-1</f>
        <v>-2.3775422515038613E-2</v>
      </c>
      <c r="O96" s="1">
        <f>E96/$B96-1</f>
        <v>1.1352048123746781</v>
      </c>
      <c r="P96">
        <f>_xlfn.RANK.EQ(M96,M$2:M$564)</f>
        <v>61</v>
      </c>
      <c r="Q96">
        <f>_xlfn.RANK.EQ(N96,N$2:N$564)</f>
        <v>106</v>
      </c>
      <c r="R96">
        <f>_xlfn.RANK.EQ(O96,O$2:O$564)</f>
        <v>161</v>
      </c>
      <c r="S96">
        <f>SUM(P96:R96)</f>
        <v>328</v>
      </c>
      <c r="T96">
        <f>_xlfn.RANK.EQ(S96,S$2:S$564, 1)</f>
        <v>95</v>
      </c>
    </row>
    <row r="97" spans="1:20" x14ac:dyDescent="0.35">
      <c r="A97" t="s">
        <v>136</v>
      </c>
      <c r="B97">
        <v>66.89</v>
      </c>
      <c r="C97">
        <v>56.6</v>
      </c>
      <c r="D97">
        <v>72.59</v>
      </c>
      <c r="E97">
        <v>129.84</v>
      </c>
      <c r="F97">
        <v>10.49</v>
      </c>
      <c r="G97">
        <v>1</v>
      </c>
      <c r="H97">
        <v>3</v>
      </c>
      <c r="I97">
        <v>5</v>
      </c>
      <c r="J97">
        <v>0</v>
      </c>
      <c r="K97">
        <v>1</v>
      </c>
      <c r="L97">
        <v>2</v>
      </c>
      <c r="M97" s="1">
        <f>C97/$B97-1</f>
        <v>-0.15383465390940343</v>
      </c>
      <c r="N97" s="1">
        <f>D97/$B97-1</f>
        <v>8.5214531320077835E-2</v>
      </c>
      <c r="O97" s="1">
        <f>E97/$B97-1</f>
        <v>0.94109732396471824</v>
      </c>
      <c r="P97">
        <f>_xlfn.RANK.EQ(M97,M$2:M$564)</f>
        <v>66</v>
      </c>
      <c r="Q97">
        <f>_xlfn.RANK.EQ(N97,N$2:N$564)</f>
        <v>89</v>
      </c>
      <c r="R97">
        <f>_xlfn.RANK.EQ(O97,O$2:O$564)</f>
        <v>176</v>
      </c>
      <c r="S97">
        <f>SUM(P97:R97)</f>
        <v>331</v>
      </c>
      <c r="T97">
        <f>_xlfn.RANK.EQ(S97,S$2:S$564, 1)</f>
        <v>96</v>
      </c>
    </row>
    <row r="98" spans="1:20" x14ac:dyDescent="0.35">
      <c r="A98" t="s">
        <v>263</v>
      </c>
      <c r="B98">
        <v>26.44</v>
      </c>
      <c r="C98">
        <v>21.07</v>
      </c>
      <c r="D98">
        <v>24.86</v>
      </c>
      <c r="E98">
        <v>62.67</v>
      </c>
      <c r="F98">
        <v>12.43</v>
      </c>
      <c r="G98">
        <v>0</v>
      </c>
      <c r="H98">
        <v>1</v>
      </c>
      <c r="I98">
        <v>5</v>
      </c>
      <c r="J98">
        <v>0</v>
      </c>
      <c r="K98">
        <v>1</v>
      </c>
      <c r="L98">
        <v>2</v>
      </c>
      <c r="M98" s="1">
        <f>C98/$B98-1</f>
        <v>-0.20310136157337366</v>
      </c>
      <c r="N98" s="1">
        <f>D98/$B98-1</f>
        <v>-5.9757942511346474E-2</v>
      </c>
      <c r="O98" s="1">
        <f>E98/$B98-1</f>
        <v>1.3702723146747351</v>
      </c>
      <c r="P98">
        <f>_xlfn.RANK.EQ(M98,M$2:M$564)</f>
        <v>78</v>
      </c>
      <c r="Q98">
        <f>_xlfn.RANK.EQ(N98,N$2:N$564)</f>
        <v>114</v>
      </c>
      <c r="R98">
        <f>_xlfn.RANK.EQ(O98,O$2:O$564)</f>
        <v>140</v>
      </c>
      <c r="S98">
        <f>SUM(P98:R98)</f>
        <v>332</v>
      </c>
      <c r="T98">
        <f>_xlfn.RANK.EQ(S98,S$2:S$564, 1)</f>
        <v>97</v>
      </c>
    </row>
    <row r="99" spans="1:20" x14ac:dyDescent="0.35">
      <c r="A99" t="s">
        <v>82</v>
      </c>
      <c r="B99">
        <v>352.51</v>
      </c>
      <c r="C99">
        <v>252.28</v>
      </c>
      <c r="D99">
        <v>343.43</v>
      </c>
      <c r="E99">
        <v>854.6</v>
      </c>
      <c r="F99">
        <v>11.49</v>
      </c>
      <c r="G99">
        <v>1</v>
      </c>
      <c r="H99">
        <v>3</v>
      </c>
      <c r="I99">
        <v>6</v>
      </c>
      <c r="J99">
        <v>0</v>
      </c>
      <c r="K99">
        <v>0</v>
      </c>
      <c r="L99">
        <v>2</v>
      </c>
      <c r="M99" s="1">
        <f>C99/$B99-1</f>
        <v>-0.28433235936569168</v>
      </c>
      <c r="N99" s="1">
        <f>D99/$B99-1</f>
        <v>-2.5758134521006504E-2</v>
      </c>
      <c r="O99" s="1">
        <f>E99/$B99-1</f>
        <v>1.4243283878471535</v>
      </c>
      <c r="P99">
        <f>_xlfn.RANK.EQ(M99,M$2:M$564)</f>
        <v>92</v>
      </c>
      <c r="Q99">
        <f>_xlfn.RANK.EQ(N99,N$2:N$564)</f>
        <v>108</v>
      </c>
      <c r="R99">
        <f>_xlfn.RANK.EQ(O99,O$2:O$564)</f>
        <v>135</v>
      </c>
      <c r="S99">
        <f>SUM(P99:R99)</f>
        <v>335</v>
      </c>
      <c r="T99">
        <f>_xlfn.RANK.EQ(S99,S$2:S$564, 1)</f>
        <v>98</v>
      </c>
    </row>
    <row r="100" spans="1:20" x14ac:dyDescent="0.35">
      <c r="A100" t="s">
        <v>412</v>
      </c>
      <c r="B100">
        <v>47.03</v>
      </c>
      <c r="C100">
        <v>34.04</v>
      </c>
      <c r="D100">
        <v>46.21</v>
      </c>
      <c r="E100">
        <v>109.21</v>
      </c>
      <c r="F100">
        <v>11.62</v>
      </c>
      <c r="G100">
        <v>1</v>
      </c>
      <c r="H100">
        <v>4</v>
      </c>
      <c r="I100">
        <v>7</v>
      </c>
      <c r="J100">
        <v>0</v>
      </c>
      <c r="K100">
        <v>0</v>
      </c>
      <c r="L100">
        <v>2</v>
      </c>
      <c r="M100" s="1">
        <f>C100/$B100-1</f>
        <v>-0.276206676589411</v>
      </c>
      <c r="N100" s="1">
        <f>D100/$B100-1</f>
        <v>-1.7435679353604128E-2</v>
      </c>
      <c r="O100" s="1">
        <f>E100/$B100-1</f>
        <v>1.3221348075696362</v>
      </c>
      <c r="P100">
        <f>_xlfn.RANK.EQ(M100,M$2:M$564)</f>
        <v>90</v>
      </c>
      <c r="Q100">
        <f>_xlfn.RANK.EQ(N100,N$2:N$564)</f>
        <v>103</v>
      </c>
      <c r="R100">
        <f>_xlfn.RANK.EQ(O100,O$2:O$564)</f>
        <v>143</v>
      </c>
      <c r="S100">
        <f>SUM(P100:R100)</f>
        <v>336</v>
      </c>
      <c r="T100">
        <f>_xlfn.RANK.EQ(S100,S$2:S$564, 1)</f>
        <v>99</v>
      </c>
    </row>
    <row r="101" spans="1:20" x14ac:dyDescent="0.35">
      <c r="A101" t="s">
        <v>545</v>
      </c>
      <c r="B101">
        <v>24.73</v>
      </c>
      <c r="C101">
        <v>23.53</v>
      </c>
      <c r="D101">
        <v>25.95</v>
      </c>
      <c r="E101">
        <v>45.27</v>
      </c>
      <c r="F101">
        <v>12.02</v>
      </c>
      <c r="G101">
        <v>0</v>
      </c>
      <c r="H101">
        <v>2</v>
      </c>
      <c r="I101">
        <v>5</v>
      </c>
      <c r="J101">
        <v>0</v>
      </c>
      <c r="K101">
        <v>0</v>
      </c>
      <c r="L101">
        <v>2</v>
      </c>
      <c r="M101" s="1">
        <f>C101/$B101-1</f>
        <v>-4.852405984634045E-2</v>
      </c>
      <c r="N101" s="1">
        <f>D101/$B101-1</f>
        <v>4.9332794177112671E-2</v>
      </c>
      <c r="O101" s="1">
        <f>E101/$B101-1</f>
        <v>0.83057015770319453</v>
      </c>
      <c r="P101">
        <f>_xlfn.RANK.EQ(M101,M$2:M$564)</f>
        <v>56</v>
      </c>
      <c r="Q101">
        <f>_xlfn.RANK.EQ(N101,N$2:N$564)</f>
        <v>95</v>
      </c>
      <c r="R101">
        <f>_xlfn.RANK.EQ(O101,O$2:O$564)</f>
        <v>188</v>
      </c>
      <c r="S101">
        <f>SUM(P101:R101)</f>
        <v>339</v>
      </c>
      <c r="T101">
        <f>_xlfn.RANK.EQ(S101,S$2:S$564, 1)</f>
        <v>100</v>
      </c>
    </row>
    <row r="102" spans="1:20" x14ac:dyDescent="0.35">
      <c r="A102" t="s">
        <v>540</v>
      </c>
      <c r="B102">
        <v>37.6</v>
      </c>
      <c r="C102">
        <v>20.72</v>
      </c>
      <c r="D102">
        <v>36.81</v>
      </c>
      <c r="E102">
        <v>120.93</v>
      </c>
      <c r="F102">
        <v>10.19</v>
      </c>
      <c r="G102">
        <v>2</v>
      </c>
      <c r="H102">
        <v>7</v>
      </c>
      <c r="I102">
        <v>12</v>
      </c>
      <c r="J102">
        <v>0</v>
      </c>
      <c r="K102">
        <v>1</v>
      </c>
      <c r="L102">
        <v>2</v>
      </c>
      <c r="M102" s="1">
        <f>C102/$B102-1</f>
        <v>-0.44893617021276599</v>
      </c>
      <c r="N102" s="1">
        <f>D102/$B102-1</f>
        <v>-2.1010638297872308E-2</v>
      </c>
      <c r="O102" s="1">
        <f>E102/$B102-1</f>
        <v>2.2162234042553193</v>
      </c>
      <c r="P102">
        <f>_xlfn.RANK.EQ(M102,M$2:M$564)</f>
        <v>150</v>
      </c>
      <c r="Q102">
        <f>_xlfn.RANK.EQ(N102,N$2:N$564)</f>
        <v>104</v>
      </c>
      <c r="R102">
        <f>_xlfn.RANK.EQ(O102,O$2:O$564)</f>
        <v>85</v>
      </c>
      <c r="S102">
        <f>SUM(P102:R102)</f>
        <v>339</v>
      </c>
      <c r="T102">
        <f>_xlfn.RANK.EQ(S102,S$2:S$564, 1)</f>
        <v>100</v>
      </c>
    </row>
    <row r="103" spans="1:20" x14ac:dyDescent="0.35">
      <c r="A103" t="s">
        <v>534</v>
      </c>
      <c r="B103">
        <v>16.87</v>
      </c>
      <c r="C103">
        <v>13.6</v>
      </c>
      <c r="D103">
        <v>16.489999999999998</v>
      </c>
      <c r="E103">
        <v>35.96</v>
      </c>
      <c r="F103">
        <v>11.74</v>
      </c>
      <c r="G103">
        <v>0</v>
      </c>
      <c r="H103">
        <v>2</v>
      </c>
      <c r="I103">
        <v>5</v>
      </c>
      <c r="J103">
        <v>0</v>
      </c>
      <c r="K103">
        <v>1</v>
      </c>
      <c r="L103">
        <v>2</v>
      </c>
      <c r="M103" s="1">
        <f>C103/$B103-1</f>
        <v>-0.19383521043272089</v>
      </c>
      <c r="N103" s="1">
        <f>D103/$B103-1</f>
        <v>-2.2525192649674119E-2</v>
      </c>
      <c r="O103" s="1">
        <f>E103/$B103-1</f>
        <v>1.1315945465323058</v>
      </c>
      <c r="P103">
        <f>_xlfn.RANK.EQ(M103,M$2:M$564)</f>
        <v>77</v>
      </c>
      <c r="Q103">
        <f>_xlfn.RANK.EQ(N103,N$2:N$564)</f>
        <v>105</v>
      </c>
      <c r="R103">
        <f>_xlfn.RANK.EQ(O103,O$2:O$564)</f>
        <v>162</v>
      </c>
      <c r="S103">
        <f>SUM(P103:R103)</f>
        <v>344</v>
      </c>
      <c r="T103">
        <f>_xlfn.RANK.EQ(S103,S$2:S$564, 1)</f>
        <v>102</v>
      </c>
    </row>
    <row r="104" spans="1:20" x14ac:dyDescent="0.35">
      <c r="A104" t="s">
        <v>400</v>
      </c>
      <c r="B104">
        <v>82.81</v>
      </c>
      <c r="C104">
        <v>67.19</v>
      </c>
      <c r="D104">
        <v>87.75</v>
      </c>
      <c r="E104">
        <v>157.11000000000001</v>
      </c>
      <c r="F104">
        <v>10.32</v>
      </c>
      <c r="G104">
        <v>1</v>
      </c>
      <c r="H104">
        <v>3</v>
      </c>
      <c r="I104">
        <v>5</v>
      </c>
      <c r="J104">
        <v>0</v>
      </c>
      <c r="K104">
        <v>1</v>
      </c>
      <c r="L104">
        <v>2</v>
      </c>
      <c r="M104" s="1">
        <f>C104/$B104-1</f>
        <v>-0.18862456225093593</v>
      </c>
      <c r="N104" s="1">
        <f>D104/$B104-1</f>
        <v>5.9654631083202458E-2</v>
      </c>
      <c r="O104" s="1">
        <f>E104/$B104-1</f>
        <v>0.89723463349836985</v>
      </c>
      <c r="P104">
        <f>_xlfn.RANK.EQ(M104,M$2:M$564)</f>
        <v>73</v>
      </c>
      <c r="Q104">
        <f>_xlfn.RANK.EQ(N104,N$2:N$564)</f>
        <v>93</v>
      </c>
      <c r="R104">
        <f>_xlfn.RANK.EQ(O104,O$2:O$564)</f>
        <v>182</v>
      </c>
      <c r="S104">
        <f>SUM(P104:R104)</f>
        <v>348</v>
      </c>
      <c r="T104">
        <f>_xlfn.RANK.EQ(S104,S$2:S$564, 1)</f>
        <v>103</v>
      </c>
    </row>
    <row r="105" spans="1:20" x14ac:dyDescent="0.35">
      <c r="A105" t="s">
        <v>220</v>
      </c>
      <c r="B105">
        <v>62.92</v>
      </c>
      <c r="C105">
        <v>28.09</v>
      </c>
      <c r="D105">
        <v>57.85</v>
      </c>
      <c r="E105">
        <v>329.98</v>
      </c>
      <c r="F105">
        <v>11.96</v>
      </c>
      <c r="G105">
        <v>2</v>
      </c>
      <c r="H105">
        <v>9</v>
      </c>
      <c r="I105">
        <v>16</v>
      </c>
      <c r="J105">
        <v>0</v>
      </c>
      <c r="K105">
        <v>0</v>
      </c>
      <c r="L105">
        <v>2</v>
      </c>
      <c r="M105" s="1">
        <f>C105/$B105-1</f>
        <v>-0.55356007628734905</v>
      </c>
      <c r="N105" s="1">
        <f>D105/$B105-1</f>
        <v>-8.0578512396694224E-2</v>
      </c>
      <c r="O105" s="1">
        <f>E105/$B105-1</f>
        <v>4.244437380801017</v>
      </c>
      <c r="P105">
        <f>_xlfn.RANK.EQ(M105,M$2:M$564)</f>
        <v>197</v>
      </c>
      <c r="Q105">
        <f>_xlfn.RANK.EQ(N105,N$2:N$564)</f>
        <v>116</v>
      </c>
      <c r="R105">
        <f>_xlfn.RANK.EQ(O105,O$2:O$564)</f>
        <v>41</v>
      </c>
      <c r="S105">
        <f>SUM(P105:R105)</f>
        <v>354</v>
      </c>
      <c r="T105">
        <f>_xlfn.RANK.EQ(S105,S$2:S$564, 1)</f>
        <v>104</v>
      </c>
    </row>
    <row r="106" spans="1:20" x14ac:dyDescent="0.35">
      <c r="A106" t="s">
        <v>198</v>
      </c>
      <c r="B106">
        <v>84.35</v>
      </c>
      <c r="C106">
        <v>71.61</v>
      </c>
      <c r="D106">
        <v>81.75</v>
      </c>
      <c r="E106">
        <v>161.49</v>
      </c>
      <c r="F106">
        <v>11.33</v>
      </c>
      <c r="G106">
        <v>0</v>
      </c>
      <c r="H106">
        <v>1</v>
      </c>
      <c r="I106">
        <v>5</v>
      </c>
      <c r="J106">
        <v>0</v>
      </c>
      <c r="K106">
        <v>1</v>
      </c>
      <c r="L106">
        <v>2</v>
      </c>
      <c r="M106" s="1">
        <f>C106/$B106-1</f>
        <v>-0.15103734439834016</v>
      </c>
      <c r="N106" s="1">
        <f>D106/$B106-1</f>
        <v>-3.082394783639586E-2</v>
      </c>
      <c r="O106" s="1">
        <f>E106/$B106-1</f>
        <v>0.91452282157676379</v>
      </c>
      <c r="P106">
        <f>_xlfn.RANK.EQ(M106,M$2:M$564)</f>
        <v>65</v>
      </c>
      <c r="Q106">
        <f>_xlfn.RANK.EQ(N106,N$2:N$564)</f>
        <v>109</v>
      </c>
      <c r="R106">
        <f>_xlfn.RANK.EQ(O106,O$2:O$564)</f>
        <v>180</v>
      </c>
      <c r="S106">
        <f>SUM(P106:R106)</f>
        <v>354</v>
      </c>
      <c r="T106">
        <f>_xlfn.RANK.EQ(S106,S$2:S$564, 1)</f>
        <v>104</v>
      </c>
    </row>
    <row r="107" spans="1:20" x14ac:dyDescent="0.35">
      <c r="A107" t="s">
        <v>358</v>
      </c>
      <c r="B107">
        <v>30.91</v>
      </c>
      <c r="C107">
        <v>21.03</v>
      </c>
      <c r="D107">
        <v>31.28</v>
      </c>
      <c r="E107">
        <v>70.58</v>
      </c>
      <c r="F107">
        <v>6.57</v>
      </c>
      <c r="G107">
        <v>0</v>
      </c>
      <c r="H107">
        <v>1</v>
      </c>
      <c r="I107">
        <v>5</v>
      </c>
      <c r="J107">
        <v>1</v>
      </c>
      <c r="K107">
        <v>5</v>
      </c>
      <c r="L107">
        <v>9</v>
      </c>
      <c r="M107" s="1">
        <f>C107/$B107-1</f>
        <v>-0.31963765771594954</v>
      </c>
      <c r="N107" s="1">
        <f>D107/$B107-1</f>
        <v>1.1970236169524417E-2</v>
      </c>
      <c r="O107" s="1">
        <f>E107/$B107-1</f>
        <v>1.2834034293109027</v>
      </c>
      <c r="P107">
        <f>_xlfn.RANK.EQ(M107,M$2:M$564)</f>
        <v>109</v>
      </c>
      <c r="Q107">
        <f>_xlfn.RANK.EQ(N107,N$2:N$564)</f>
        <v>99</v>
      </c>
      <c r="R107">
        <f>_xlfn.RANK.EQ(O107,O$2:O$564)</f>
        <v>148</v>
      </c>
      <c r="S107">
        <f>SUM(P107:R107)</f>
        <v>356</v>
      </c>
      <c r="T107">
        <f>_xlfn.RANK.EQ(S107,S$2:S$564, 1)</f>
        <v>106</v>
      </c>
    </row>
    <row r="108" spans="1:20" x14ac:dyDescent="0.35">
      <c r="A108" t="s">
        <v>144</v>
      </c>
      <c r="B108">
        <v>139.49</v>
      </c>
      <c r="C108">
        <v>119.21</v>
      </c>
      <c r="D108">
        <v>134.94</v>
      </c>
      <c r="E108">
        <v>256.23</v>
      </c>
      <c r="F108">
        <v>11.33</v>
      </c>
      <c r="G108">
        <v>0</v>
      </c>
      <c r="H108">
        <v>1</v>
      </c>
      <c r="I108">
        <v>5</v>
      </c>
      <c r="J108">
        <v>0</v>
      </c>
      <c r="K108">
        <v>0</v>
      </c>
      <c r="L108">
        <v>2</v>
      </c>
      <c r="M108" s="1">
        <f>C108/$B108-1</f>
        <v>-0.14538676607642131</v>
      </c>
      <c r="N108" s="1">
        <f>D108/$B108-1</f>
        <v>-3.2618825722274036E-2</v>
      </c>
      <c r="O108" s="1">
        <f>E108/$B108-1</f>
        <v>0.83690587138862993</v>
      </c>
      <c r="P108">
        <f>_xlfn.RANK.EQ(M108,M$2:M$564)</f>
        <v>64</v>
      </c>
      <c r="Q108">
        <f>_xlfn.RANK.EQ(N108,N$2:N$564)</f>
        <v>110</v>
      </c>
      <c r="R108">
        <f>_xlfn.RANK.EQ(O108,O$2:O$564)</f>
        <v>187</v>
      </c>
      <c r="S108">
        <f>SUM(P108:R108)</f>
        <v>361</v>
      </c>
      <c r="T108">
        <f>_xlfn.RANK.EQ(S108,S$2:S$564, 1)</f>
        <v>107</v>
      </c>
    </row>
    <row r="109" spans="1:20" x14ac:dyDescent="0.35">
      <c r="A109" t="s">
        <v>223</v>
      </c>
      <c r="B109">
        <v>964.02</v>
      </c>
      <c r="C109">
        <v>363.34</v>
      </c>
      <c r="D109">
        <v>1055.43</v>
      </c>
      <c r="E109">
        <v>6740.29</v>
      </c>
      <c r="F109">
        <v>7.13</v>
      </c>
      <c r="G109">
        <v>2</v>
      </c>
      <c r="H109">
        <v>10</v>
      </c>
      <c r="I109">
        <v>18</v>
      </c>
      <c r="J109">
        <v>0</v>
      </c>
      <c r="K109">
        <v>2</v>
      </c>
      <c r="L109">
        <v>3</v>
      </c>
      <c r="M109" s="1">
        <f>C109/$B109-1</f>
        <v>-0.62309910582768002</v>
      </c>
      <c r="N109" s="1">
        <f>D109/$B109-1</f>
        <v>9.4821684197423428E-2</v>
      </c>
      <c r="O109" s="1">
        <f>E109/$B109-1</f>
        <v>5.9918570154146185</v>
      </c>
      <c r="P109">
        <f>_xlfn.RANK.EQ(M109,M$2:M$564)</f>
        <v>247</v>
      </c>
      <c r="Q109">
        <f>_xlfn.RANK.EQ(N109,N$2:N$564)</f>
        <v>88</v>
      </c>
      <c r="R109">
        <f>_xlfn.RANK.EQ(O109,O$2:O$564)</f>
        <v>27</v>
      </c>
      <c r="S109">
        <f>SUM(P109:R109)</f>
        <v>362</v>
      </c>
      <c r="T109">
        <f>_xlfn.RANK.EQ(S109,S$2:S$564, 1)</f>
        <v>108</v>
      </c>
    </row>
    <row r="110" spans="1:20" x14ac:dyDescent="0.35">
      <c r="A110" t="s">
        <v>94</v>
      </c>
      <c r="B110">
        <v>43.97</v>
      </c>
      <c r="C110">
        <v>36.08</v>
      </c>
      <c r="D110">
        <v>40.47</v>
      </c>
      <c r="E110">
        <v>82.72</v>
      </c>
      <c r="F110">
        <v>11.89</v>
      </c>
      <c r="G110">
        <v>0</v>
      </c>
      <c r="H110">
        <v>1</v>
      </c>
      <c r="I110">
        <v>5</v>
      </c>
      <c r="J110">
        <v>0</v>
      </c>
      <c r="K110">
        <v>0</v>
      </c>
      <c r="L110">
        <v>2</v>
      </c>
      <c r="M110" s="1">
        <f>C110/$B110-1</f>
        <v>-0.17944052763247675</v>
      </c>
      <c r="N110" s="1">
        <f>D110/$B110-1</f>
        <v>-7.9599727086649974E-2</v>
      </c>
      <c r="O110" s="1">
        <f>E110/$B110-1</f>
        <v>0.88128269274505344</v>
      </c>
      <c r="P110">
        <f>_xlfn.RANK.EQ(M110,M$2:M$564)</f>
        <v>72</v>
      </c>
      <c r="Q110">
        <f>_xlfn.RANK.EQ(N110,N$2:N$564)</f>
        <v>115</v>
      </c>
      <c r="R110">
        <f>_xlfn.RANK.EQ(O110,O$2:O$564)</f>
        <v>183</v>
      </c>
      <c r="S110">
        <f>SUM(P110:R110)</f>
        <v>370</v>
      </c>
      <c r="T110">
        <f>_xlfn.RANK.EQ(S110,S$2:S$564, 1)</f>
        <v>109</v>
      </c>
    </row>
    <row r="111" spans="1:20" x14ac:dyDescent="0.35">
      <c r="A111" t="s">
        <v>395</v>
      </c>
      <c r="B111">
        <v>58.94</v>
      </c>
      <c r="C111">
        <v>41.7</v>
      </c>
      <c r="D111">
        <v>62.81</v>
      </c>
      <c r="E111">
        <v>109.78</v>
      </c>
      <c r="F111">
        <v>7.97</v>
      </c>
      <c r="G111">
        <v>0</v>
      </c>
      <c r="H111">
        <v>1</v>
      </c>
      <c r="I111">
        <v>5</v>
      </c>
      <c r="J111">
        <v>1</v>
      </c>
      <c r="K111">
        <v>3</v>
      </c>
      <c r="L111">
        <v>6</v>
      </c>
      <c r="M111" s="1">
        <f>C111/$B111-1</f>
        <v>-0.29250084832032563</v>
      </c>
      <c r="N111" s="1">
        <f>D111/$B111-1</f>
        <v>6.5659993213437406E-2</v>
      </c>
      <c r="O111" s="1">
        <f>E111/$B111-1</f>
        <v>0.86257210722768929</v>
      </c>
      <c r="P111">
        <f>_xlfn.RANK.EQ(M111,M$2:M$564)</f>
        <v>96</v>
      </c>
      <c r="Q111">
        <f>_xlfn.RANK.EQ(N111,N$2:N$564)</f>
        <v>92</v>
      </c>
      <c r="R111">
        <f>_xlfn.RANK.EQ(O111,O$2:O$564)</f>
        <v>185</v>
      </c>
      <c r="S111">
        <f>SUM(P111:R111)</f>
        <v>373</v>
      </c>
      <c r="T111">
        <f>_xlfn.RANK.EQ(S111,S$2:S$564, 1)</f>
        <v>110</v>
      </c>
    </row>
    <row r="112" spans="1:20" x14ac:dyDescent="0.35">
      <c r="A112" t="s">
        <v>47</v>
      </c>
      <c r="B112">
        <v>10.16</v>
      </c>
      <c r="C112">
        <v>8.84</v>
      </c>
      <c r="D112">
        <v>9.61</v>
      </c>
      <c r="E112">
        <v>17.66</v>
      </c>
      <c r="F112">
        <v>12.94</v>
      </c>
      <c r="G112">
        <v>0</v>
      </c>
      <c r="H112">
        <v>1</v>
      </c>
      <c r="I112">
        <v>5</v>
      </c>
      <c r="J112">
        <v>0</v>
      </c>
      <c r="K112">
        <v>0</v>
      </c>
      <c r="L112">
        <v>2</v>
      </c>
      <c r="M112" s="1">
        <f>C112/$B112-1</f>
        <v>-0.12992125984251968</v>
      </c>
      <c r="N112" s="1">
        <f>D112/$B112-1</f>
        <v>-5.413385826771655E-2</v>
      </c>
      <c r="O112" s="1">
        <f>E112/$B112-1</f>
        <v>0.73818897637795278</v>
      </c>
      <c r="P112">
        <f>_xlfn.RANK.EQ(M112,M$2:M$564)</f>
        <v>63</v>
      </c>
      <c r="Q112">
        <f>_xlfn.RANK.EQ(N112,N$2:N$564)</f>
        <v>113</v>
      </c>
      <c r="R112">
        <f>_xlfn.RANK.EQ(O112,O$2:O$564)</f>
        <v>200</v>
      </c>
      <c r="S112">
        <f>SUM(P112:R112)</f>
        <v>376</v>
      </c>
      <c r="T112">
        <f>_xlfn.RANK.EQ(S112,S$2:S$564, 1)</f>
        <v>111</v>
      </c>
    </row>
    <row r="113" spans="1:20" x14ac:dyDescent="0.35">
      <c r="A113" t="s">
        <v>562</v>
      </c>
      <c r="B113">
        <v>10.119999999999999</v>
      </c>
      <c r="C113">
        <v>7.53</v>
      </c>
      <c r="D113">
        <v>8.56</v>
      </c>
      <c r="E113">
        <v>21.06</v>
      </c>
      <c r="F113">
        <v>12.91</v>
      </c>
      <c r="G113">
        <v>0</v>
      </c>
      <c r="H113">
        <v>1</v>
      </c>
      <c r="I113">
        <v>5</v>
      </c>
      <c r="J113">
        <v>0</v>
      </c>
      <c r="K113">
        <v>0</v>
      </c>
      <c r="L113">
        <v>2</v>
      </c>
      <c r="M113" s="1">
        <f>C113/$B113-1</f>
        <v>-0.25592885375494068</v>
      </c>
      <c r="N113" s="1">
        <f>D113/$B113-1</f>
        <v>-0.15415019762845839</v>
      </c>
      <c r="O113" s="1">
        <f>E113/$B113-1</f>
        <v>1.0810276679841899</v>
      </c>
      <c r="P113">
        <f>_xlfn.RANK.EQ(M113,M$2:M$564)</f>
        <v>85</v>
      </c>
      <c r="Q113">
        <f>_xlfn.RANK.EQ(N113,N$2:N$564)</f>
        <v>129</v>
      </c>
      <c r="R113">
        <f>_xlfn.RANK.EQ(O113,O$2:O$564)</f>
        <v>165</v>
      </c>
      <c r="S113">
        <f>SUM(P113:R113)</f>
        <v>379</v>
      </c>
      <c r="T113">
        <f>_xlfn.RANK.EQ(S113,S$2:S$564, 1)</f>
        <v>112</v>
      </c>
    </row>
    <row r="114" spans="1:20" x14ac:dyDescent="0.35">
      <c r="A114" t="s">
        <v>59</v>
      </c>
      <c r="B114">
        <v>755.59</v>
      </c>
      <c r="C114">
        <v>282.93</v>
      </c>
      <c r="D114">
        <v>795.33</v>
      </c>
      <c r="E114">
        <v>4474.34</v>
      </c>
      <c r="F114">
        <v>7.41</v>
      </c>
      <c r="G114">
        <v>2</v>
      </c>
      <c r="H114">
        <v>10</v>
      </c>
      <c r="I114">
        <v>17</v>
      </c>
      <c r="J114">
        <v>0</v>
      </c>
      <c r="K114">
        <v>2</v>
      </c>
      <c r="L114">
        <v>3</v>
      </c>
      <c r="M114" s="1">
        <f>C114/$B114-1</f>
        <v>-0.62555089400336161</v>
      </c>
      <c r="N114" s="1">
        <f>D114/$B114-1</f>
        <v>5.2594661125742848E-2</v>
      </c>
      <c r="O114" s="1">
        <f>E114/$B114-1</f>
        <v>4.9216506306330148</v>
      </c>
      <c r="P114">
        <f>_xlfn.RANK.EQ(M114,M$2:M$564)</f>
        <v>251</v>
      </c>
      <c r="Q114">
        <f>_xlfn.RANK.EQ(N114,N$2:N$564)</f>
        <v>94</v>
      </c>
      <c r="R114">
        <f>_xlfn.RANK.EQ(O114,O$2:O$564)</f>
        <v>35</v>
      </c>
      <c r="S114">
        <f>SUM(P114:R114)</f>
        <v>380</v>
      </c>
      <c r="T114">
        <f>_xlfn.RANK.EQ(S114,S$2:S$564, 1)</f>
        <v>113</v>
      </c>
    </row>
    <row r="115" spans="1:20" x14ac:dyDescent="0.35">
      <c r="A115" t="s">
        <v>549</v>
      </c>
      <c r="B115">
        <v>166.69</v>
      </c>
      <c r="C115">
        <v>74.61</v>
      </c>
      <c r="D115">
        <v>158.82</v>
      </c>
      <c r="E115">
        <v>562.57000000000005</v>
      </c>
      <c r="F115">
        <v>9.33</v>
      </c>
      <c r="G115">
        <v>2</v>
      </c>
      <c r="H115">
        <v>7</v>
      </c>
      <c r="I115">
        <v>13</v>
      </c>
      <c r="J115">
        <v>0</v>
      </c>
      <c r="K115">
        <v>2</v>
      </c>
      <c r="L115">
        <v>3</v>
      </c>
      <c r="M115" s="1">
        <f>C115/$B115-1</f>
        <v>-0.55240266362709223</v>
      </c>
      <c r="N115" s="1">
        <f>D115/$B115-1</f>
        <v>-4.7213390125382504E-2</v>
      </c>
      <c r="O115" s="1">
        <f>E115/$B115-1</f>
        <v>2.3749475073489714</v>
      </c>
      <c r="P115">
        <f>_xlfn.RANK.EQ(M115,M$2:M$564)</f>
        <v>196</v>
      </c>
      <c r="Q115">
        <f>_xlfn.RANK.EQ(N115,N$2:N$564)</f>
        <v>112</v>
      </c>
      <c r="R115">
        <f>_xlfn.RANK.EQ(O115,O$2:O$564)</f>
        <v>76</v>
      </c>
      <c r="S115">
        <f>SUM(P115:R115)</f>
        <v>384</v>
      </c>
      <c r="T115">
        <f>_xlfn.RANK.EQ(S115,S$2:S$564, 1)</f>
        <v>114</v>
      </c>
    </row>
    <row r="116" spans="1:20" x14ac:dyDescent="0.35">
      <c r="A116" t="s">
        <v>361</v>
      </c>
      <c r="B116">
        <v>10.96</v>
      </c>
      <c r="C116">
        <v>6.1</v>
      </c>
      <c r="D116">
        <v>8.1999999999999993</v>
      </c>
      <c r="E116">
        <v>35.28</v>
      </c>
      <c r="F116">
        <v>11.73</v>
      </c>
      <c r="G116">
        <v>2</v>
      </c>
      <c r="H116">
        <v>10</v>
      </c>
      <c r="I116">
        <v>18</v>
      </c>
      <c r="J116">
        <v>1</v>
      </c>
      <c r="K116">
        <v>5</v>
      </c>
      <c r="L116">
        <v>9</v>
      </c>
      <c r="M116" s="1">
        <f>C116/$B116-1</f>
        <v>-0.44343065693430661</v>
      </c>
      <c r="N116" s="1">
        <f>D116/$B116-1</f>
        <v>-0.25182481751824826</v>
      </c>
      <c r="O116" s="1">
        <f>E116/$B116-1</f>
        <v>2.218978102189781</v>
      </c>
      <c r="P116">
        <f>_xlfn.RANK.EQ(M116,M$2:M$564)</f>
        <v>147</v>
      </c>
      <c r="Q116">
        <f>_xlfn.RANK.EQ(N116,N$2:N$564)</f>
        <v>156</v>
      </c>
      <c r="R116">
        <f>_xlfn.RANK.EQ(O116,O$2:O$564)</f>
        <v>84</v>
      </c>
      <c r="S116">
        <f>SUM(P116:R116)</f>
        <v>387</v>
      </c>
      <c r="T116">
        <f>_xlfn.RANK.EQ(S116,S$2:S$564, 1)</f>
        <v>115</v>
      </c>
    </row>
    <row r="117" spans="1:20" x14ac:dyDescent="0.35">
      <c r="A117" t="s">
        <v>499</v>
      </c>
      <c r="B117">
        <v>73.87</v>
      </c>
      <c r="C117">
        <v>39.21</v>
      </c>
      <c r="D117">
        <v>61.6</v>
      </c>
      <c r="E117">
        <v>229.82</v>
      </c>
      <c r="F117">
        <v>11.17</v>
      </c>
      <c r="G117">
        <v>2</v>
      </c>
      <c r="H117">
        <v>8</v>
      </c>
      <c r="I117">
        <v>15</v>
      </c>
      <c r="J117">
        <v>0</v>
      </c>
      <c r="K117">
        <v>0</v>
      </c>
      <c r="L117">
        <v>2</v>
      </c>
      <c r="M117" s="1">
        <f>C117/$B117-1</f>
        <v>-0.46920265330986866</v>
      </c>
      <c r="N117" s="1">
        <f>D117/$B117-1</f>
        <v>-0.16610261269798299</v>
      </c>
      <c r="O117" s="1">
        <f>E117/$B117-1</f>
        <v>2.1111411939894404</v>
      </c>
      <c r="P117">
        <f>_xlfn.RANK.EQ(M117,M$2:M$564)</f>
        <v>161</v>
      </c>
      <c r="Q117">
        <f>_xlfn.RANK.EQ(N117,N$2:N$564)</f>
        <v>134</v>
      </c>
      <c r="R117">
        <f>_xlfn.RANK.EQ(O117,O$2:O$564)</f>
        <v>93</v>
      </c>
      <c r="S117">
        <f>SUM(P117:R117)</f>
        <v>388</v>
      </c>
      <c r="T117">
        <f>_xlfn.RANK.EQ(S117,S$2:S$564, 1)</f>
        <v>116</v>
      </c>
    </row>
    <row r="118" spans="1:20" x14ac:dyDescent="0.35">
      <c r="A118" t="s">
        <v>471</v>
      </c>
      <c r="B118">
        <v>20.34</v>
      </c>
      <c r="C118">
        <v>14.13</v>
      </c>
      <c r="D118">
        <v>18.43</v>
      </c>
      <c r="E118">
        <v>41.88</v>
      </c>
      <c r="F118">
        <v>12</v>
      </c>
      <c r="G118">
        <v>1</v>
      </c>
      <c r="H118">
        <v>3</v>
      </c>
      <c r="I118">
        <v>5</v>
      </c>
      <c r="J118">
        <v>0</v>
      </c>
      <c r="K118">
        <v>1</v>
      </c>
      <c r="L118">
        <v>2</v>
      </c>
      <c r="M118" s="1">
        <f>C118/$B118-1</f>
        <v>-0.30530973451327426</v>
      </c>
      <c r="N118" s="1">
        <f>D118/$B118-1</f>
        <v>-9.3903638151425772E-2</v>
      </c>
      <c r="O118" s="1">
        <f>E118/$B118-1</f>
        <v>1.0589970501474926</v>
      </c>
      <c r="P118">
        <f>_xlfn.RANK.EQ(M118,M$2:M$564)</f>
        <v>105</v>
      </c>
      <c r="Q118">
        <f>_xlfn.RANK.EQ(N118,N$2:N$564)</f>
        <v>117</v>
      </c>
      <c r="R118">
        <f>_xlfn.RANK.EQ(O118,O$2:O$564)</f>
        <v>168</v>
      </c>
      <c r="S118">
        <f>SUM(P118:R118)</f>
        <v>390</v>
      </c>
      <c r="T118">
        <f>_xlfn.RANK.EQ(S118,S$2:S$564, 1)</f>
        <v>117</v>
      </c>
    </row>
    <row r="119" spans="1:20" x14ac:dyDescent="0.35">
      <c r="A119" t="s">
        <v>415</v>
      </c>
      <c r="B119">
        <v>29.03</v>
      </c>
      <c r="C119">
        <v>14.41</v>
      </c>
      <c r="D119">
        <v>25.64</v>
      </c>
      <c r="E119">
        <v>89.59</v>
      </c>
      <c r="F119">
        <v>11.15</v>
      </c>
      <c r="G119">
        <v>1</v>
      </c>
      <c r="H119">
        <v>6</v>
      </c>
      <c r="I119">
        <v>11</v>
      </c>
      <c r="J119">
        <v>0</v>
      </c>
      <c r="K119">
        <v>0</v>
      </c>
      <c r="L119">
        <v>2</v>
      </c>
      <c r="M119" s="1">
        <f>C119/$B119-1</f>
        <v>-0.50361694798484336</v>
      </c>
      <c r="N119" s="1">
        <f>D119/$B119-1</f>
        <v>-0.11677574922493972</v>
      </c>
      <c r="O119" s="1">
        <f>E119/$B119-1</f>
        <v>2.0861178091629351</v>
      </c>
      <c r="P119">
        <f>_xlfn.RANK.EQ(M119,M$2:M$564)</f>
        <v>176</v>
      </c>
      <c r="Q119">
        <f>_xlfn.RANK.EQ(N119,N$2:N$564)</f>
        <v>120</v>
      </c>
      <c r="R119">
        <f>_xlfn.RANK.EQ(O119,O$2:O$564)</f>
        <v>95</v>
      </c>
      <c r="S119">
        <f>SUM(P119:R119)</f>
        <v>391</v>
      </c>
      <c r="T119">
        <f>_xlfn.RANK.EQ(S119,S$2:S$564, 1)</f>
        <v>118</v>
      </c>
    </row>
    <row r="120" spans="1:20" x14ac:dyDescent="0.35">
      <c r="A120" t="s">
        <v>415</v>
      </c>
      <c r="B120">
        <v>29.03</v>
      </c>
      <c r="C120">
        <v>14.41</v>
      </c>
      <c r="D120">
        <v>25.64</v>
      </c>
      <c r="E120">
        <v>89.59</v>
      </c>
      <c r="F120">
        <v>11.15</v>
      </c>
      <c r="G120">
        <v>1</v>
      </c>
      <c r="H120">
        <v>6</v>
      </c>
      <c r="I120">
        <v>11</v>
      </c>
      <c r="J120">
        <v>0</v>
      </c>
      <c r="K120">
        <v>0</v>
      </c>
      <c r="L120">
        <v>2</v>
      </c>
      <c r="M120" s="1">
        <f>C120/$B120-1</f>
        <v>-0.50361694798484336</v>
      </c>
      <c r="N120" s="1">
        <f>D120/$B120-1</f>
        <v>-0.11677574922493972</v>
      </c>
      <c r="O120" s="1">
        <f>E120/$B120-1</f>
        <v>2.0861178091629351</v>
      </c>
      <c r="P120">
        <f>_xlfn.RANK.EQ(M120,M$2:M$564)</f>
        <v>176</v>
      </c>
      <c r="Q120">
        <f>_xlfn.RANK.EQ(N120,N$2:N$564)</f>
        <v>120</v>
      </c>
      <c r="R120">
        <f>_xlfn.RANK.EQ(O120,O$2:O$564)</f>
        <v>95</v>
      </c>
      <c r="S120">
        <f>SUM(P120:R120)</f>
        <v>391</v>
      </c>
      <c r="T120">
        <f>_xlfn.RANK.EQ(S120,S$2:S$564, 1)</f>
        <v>118</v>
      </c>
    </row>
    <row r="121" spans="1:20" x14ac:dyDescent="0.35">
      <c r="A121" t="s">
        <v>53</v>
      </c>
      <c r="B121">
        <v>26.13</v>
      </c>
      <c r="C121">
        <v>21.75</v>
      </c>
      <c r="D121">
        <v>22.09</v>
      </c>
      <c r="E121">
        <v>46.75</v>
      </c>
      <c r="F121">
        <v>12.51</v>
      </c>
      <c r="G121">
        <v>-2</v>
      </c>
      <c r="H121">
        <v>1</v>
      </c>
      <c r="I121">
        <v>5</v>
      </c>
      <c r="J121">
        <v>0</v>
      </c>
      <c r="K121">
        <v>0</v>
      </c>
      <c r="L121">
        <v>2</v>
      </c>
      <c r="M121" s="1">
        <f>C121/$B121-1</f>
        <v>-0.1676234213547646</v>
      </c>
      <c r="N121" s="1">
        <f>D121/$B121-1</f>
        <v>-0.15461155759663214</v>
      </c>
      <c r="O121" s="1">
        <f>E121/$B121-1</f>
        <v>0.7891312667432071</v>
      </c>
      <c r="P121">
        <f>_xlfn.RANK.EQ(M121,M$2:M$564)</f>
        <v>69</v>
      </c>
      <c r="Q121">
        <f>_xlfn.RANK.EQ(N121,N$2:N$564)</f>
        <v>130</v>
      </c>
      <c r="R121">
        <f>_xlfn.RANK.EQ(O121,O$2:O$564)</f>
        <v>193</v>
      </c>
      <c r="S121">
        <f>SUM(P121:R121)</f>
        <v>392</v>
      </c>
      <c r="T121">
        <f>_xlfn.RANK.EQ(S121,S$2:S$564, 1)</f>
        <v>120</v>
      </c>
    </row>
    <row r="122" spans="1:20" x14ac:dyDescent="0.35">
      <c r="A122" t="s">
        <v>272</v>
      </c>
      <c r="B122">
        <v>185.89</v>
      </c>
      <c r="C122">
        <v>67.44</v>
      </c>
      <c r="D122">
        <v>184.39</v>
      </c>
      <c r="E122">
        <v>1179.1500000000001</v>
      </c>
      <c r="F122">
        <v>7.06</v>
      </c>
      <c r="G122">
        <v>2</v>
      </c>
      <c r="H122">
        <v>10</v>
      </c>
      <c r="I122">
        <v>18</v>
      </c>
      <c r="J122">
        <v>1</v>
      </c>
      <c r="K122">
        <v>3</v>
      </c>
      <c r="L122">
        <v>6</v>
      </c>
      <c r="M122" s="1">
        <f>C122/$B122-1</f>
        <v>-0.63720479853676903</v>
      </c>
      <c r="N122" s="1">
        <f>D122/$B122-1</f>
        <v>-8.0692882887729578E-3</v>
      </c>
      <c r="O122" s="1">
        <f>E122/$B122-1</f>
        <v>5.3432675238044016</v>
      </c>
      <c r="P122">
        <f>_xlfn.RANK.EQ(M122,M$2:M$564)</f>
        <v>265</v>
      </c>
      <c r="Q122">
        <f>_xlfn.RANK.EQ(N122,N$2:N$564)</f>
        <v>101</v>
      </c>
      <c r="R122">
        <f>_xlfn.RANK.EQ(O122,O$2:O$564)</f>
        <v>32</v>
      </c>
      <c r="S122">
        <f>SUM(P122:R122)</f>
        <v>398</v>
      </c>
      <c r="T122">
        <f>_xlfn.RANK.EQ(S122,S$2:S$564, 1)</f>
        <v>121</v>
      </c>
    </row>
    <row r="123" spans="1:20" x14ac:dyDescent="0.35">
      <c r="A123" t="s">
        <v>153</v>
      </c>
      <c r="B123">
        <v>15.3</v>
      </c>
      <c r="C123">
        <v>9.36</v>
      </c>
      <c r="D123">
        <v>10.65</v>
      </c>
      <c r="E123">
        <v>45.52</v>
      </c>
      <c r="F123">
        <v>14.32</v>
      </c>
      <c r="G123">
        <v>-3</v>
      </c>
      <c r="H123">
        <v>1</v>
      </c>
      <c r="I123">
        <v>5</v>
      </c>
      <c r="J123">
        <v>0</v>
      </c>
      <c r="K123">
        <v>0</v>
      </c>
      <c r="L123">
        <v>2</v>
      </c>
      <c r="M123" s="1">
        <f>C123/$B123-1</f>
        <v>-0.38823529411764712</v>
      </c>
      <c r="N123" s="1">
        <f>D123/$B123-1</f>
        <v>-0.30392156862745101</v>
      </c>
      <c r="O123" s="1">
        <f>E123/$B123-1</f>
        <v>1.9751633986928105</v>
      </c>
      <c r="P123">
        <f>_xlfn.RANK.EQ(M123,M$2:M$564)</f>
        <v>129</v>
      </c>
      <c r="Q123">
        <f>_xlfn.RANK.EQ(N123,N$2:N$564)</f>
        <v>173</v>
      </c>
      <c r="R123">
        <f>_xlfn.RANK.EQ(O123,O$2:O$564)</f>
        <v>104</v>
      </c>
      <c r="S123">
        <f>SUM(P123:R123)</f>
        <v>406</v>
      </c>
      <c r="T123">
        <f>_xlfn.RANK.EQ(S123,S$2:S$564, 1)</f>
        <v>122</v>
      </c>
    </row>
    <row r="124" spans="1:20" x14ac:dyDescent="0.35">
      <c r="A124" t="s">
        <v>451</v>
      </c>
      <c r="B124">
        <v>371.95</v>
      </c>
      <c r="C124">
        <v>187.24</v>
      </c>
      <c r="D124">
        <v>313.23</v>
      </c>
      <c r="E124">
        <v>1113.72</v>
      </c>
      <c r="F124">
        <v>10.53</v>
      </c>
      <c r="G124">
        <v>2</v>
      </c>
      <c r="H124">
        <v>8</v>
      </c>
      <c r="I124">
        <v>14</v>
      </c>
      <c r="J124">
        <v>0</v>
      </c>
      <c r="K124">
        <v>1</v>
      </c>
      <c r="L124">
        <v>2</v>
      </c>
      <c r="M124" s="1">
        <f>C124/$B124-1</f>
        <v>-0.49659900524264011</v>
      </c>
      <c r="N124" s="1">
        <f>D124/$B124-1</f>
        <v>-0.15787068154321815</v>
      </c>
      <c r="O124" s="1">
        <f>E124/$B124-1</f>
        <v>1.9942734238472917</v>
      </c>
      <c r="P124">
        <f>_xlfn.RANK.EQ(M124,M$2:M$564)</f>
        <v>173</v>
      </c>
      <c r="Q124">
        <f>_xlfn.RANK.EQ(N124,N$2:N$564)</f>
        <v>132</v>
      </c>
      <c r="R124">
        <f>_xlfn.RANK.EQ(O124,O$2:O$564)</f>
        <v>101</v>
      </c>
      <c r="S124">
        <f>SUM(P124:R124)</f>
        <v>406</v>
      </c>
      <c r="T124">
        <f>_xlfn.RANK.EQ(S124,S$2:S$564, 1)</f>
        <v>122</v>
      </c>
    </row>
    <row r="125" spans="1:20" x14ac:dyDescent="0.35">
      <c r="A125" t="s">
        <v>418</v>
      </c>
      <c r="B125">
        <v>229.55</v>
      </c>
      <c r="C125">
        <v>168.75</v>
      </c>
      <c r="D125">
        <v>190.76</v>
      </c>
      <c r="E125">
        <v>431.61</v>
      </c>
      <c r="F125">
        <v>12.26</v>
      </c>
      <c r="G125">
        <v>0</v>
      </c>
      <c r="H125">
        <v>1</v>
      </c>
      <c r="I125">
        <v>5</v>
      </c>
      <c r="J125">
        <v>0</v>
      </c>
      <c r="K125">
        <v>0</v>
      </c>
      <c r="L125">
        <v>2</v>
      </c>
      <c r="M125" s="1">
        <f>C125/$B125-1</f>
        <v>-0.26486604225658905</v>
      </c>
      <c r="N125" s="1">
        <f>D125/$B125-1</f>
        <v>-0.16898279241995218</v>
      </c>
      <c r="O125" s="1">
        <f>E125/$B125-1</f>
        <v>0.88024395556523638</v>
      </c>
      <c r="P125">
        <f>_xlfn.RANK.EQ(M125,M$2:M$564)</f>
        <v>88</v>
      </c>
      <c r="Q125">
        <f>_xlfn.RANK.EQ(N125,N$2:N$564)</f>
        <v>135</v>
      </c>
      <c r="R125">
        <f>_xlfn.RANK.EQ(O125,O$2:O$564)</f>
        <v>184</v>
      </c>
      <c r="S125">
        <f>SUM(P125:R125)</f>
        <v>407</v>
      </c>
      <c r="T125">
        <f>_xlfn.RANK.EQ(S125,S$2:S$564, 1)</f>
        <v>124</v>
      </c>
    </row>
    <row r="126" spans="1:20" x14ac:dyDescent="0.35">
      <c r="A126" t="s">
        <v>116</v>
      </c>
      <c r="B126">
        <v>122.55</v>
      </c>
      <c r="C126">
        <v>53.42</v>
      </c>
      <c r="D126">
        <v>103.18</v>
      </c>
      <c r="E126">
        <v>414.3</v>
      </c>
      <c r="F126">
        <v>5.95</v>
      </c>
      <c r="G126">
        <v>1</v>
      </c>
      <c r="H126">
        <v>5</v>
      </c>
      <c r="I126">
        <v>10</v>
      </c>
      <c r="J126">
        <v>1</v>
      </c>
      <c r="K126">
        <v>5</v>
      </c>
      <c r="L126">
        <v>9</v>
      </c>
      <c r="M126" s="1">
        <f>C126/$B126-1</f>
        <v>-0.56409628722970218</v>
      </c>
      <c r="N126" s="1">
        <f>D126/$B126-1</f>
        <v>-0.15805793553651559</v>
      </c>
      <c r="O126" s="1">
        <f>E126/$B126-1</f>
        <v>2.3806609547123623</v>
      </c>
      <c r="P126">
        <f>_xlfn.RANK.EQ(M126,M$2:M$564)</f>
        <v>202</v>
      </c>
      <c r="Q126">
        <f>_xlfn.RANK.EQ(N126,N$2:N$564)</f>
        <v>133</v>
      </c>
      <c r="R126">
        <f>_xlfn.RANK.EQ(O126,O$2:O$564)</f>
        <v>75</v>
      </c>
      <c r="S126">
        <f>SUM(P126:R126)</f>
        <v>410</v>
      </c>
      <c r="T126">
        <f>_xlfn.RANK.EQ(S126,S$2:S$564, 1)</f>
        <v>125</v>
      </c>
    </row>
    <row r="127" spans="1:20" x14ac:dyDescent="0.35">
      <c r="A127" t="s">
        <v>439</v>
      </c>
      <c r="B127">
        <v>71.34</v>
      </c>
      <c r="C127">
        <v>57.87</v>
      </c>
      <c r="D127">
        <v>57.96</v>
      </c>
      <c r="E127">
        <v>120.53</v>
      </c>
      <c r="F127">
        <v>12.7</v>
      </c>
      <c r="G127">
        <v>-3</v>
      </c>
      <c r="H127">
        <v>1</v>
      </c>
      <c r="I127">
        <v>5</v>
      </c>
      <c r="J127">
        <v>0</v>
      </c>
      <c r="K127">
        <v>0</v>
      </c>
      <c r="L127">
        <v>2</v>
      </c>
      <c r="M127" s="1">
        <f>C127/$B127-1</f>
        <v>-0.18881412952060561</v>
      </c>
      <c r="N127" s="1">
        <f>D127/$B127-1</f>
        <v>-0.1875525651808243</v>
      </c>
      <c r="O127" s="1">
        <f>E127/$B127-1</f>
        <v>0.68951499859826182</v>
      </c>
      <c r="P127">
        <f>_xlfn.RANK.EQ(M127,M$2:M$564)</f>
        <v>74</v>
      </c>
      <c r="Q127">
        <f>_xlfn.RANK.EQ(N127,N$2:N$564)</f>
        <v>140</v>
      </c>
      <c r="R127">
        <f>_xlfn.RANK.EQ(O127,O$2:O$564)</f>
        <v>202</v>
      </c>
      <c r="S127">
        <f>SUM(P127:R127)</f>
        <v>416</v>
      </c>
      <c r="T127">
        <f>_xlfn.RANK.EQ(S127,S$2:S$564, 1)</f>
        <v>126</v>
      </c>
    </row>
    <row r="128" spans="1:20" x14ac:dyDescent="0.35">
      <c r="A128" t="s">
        <v>323</v>
      </c>
      <c r="B128">
        <v>42.52</v>
      </c>
      <c r="C128">
        <v>29.44</v>
      </c>
      <c r="D128">
        <v>37.36</v>
      </c>
      <c r="E128">
        <v>78.510000000000005</v>
      </c>
      <c r="F128">
        <v>11.7</v>
      </c>
      <c r="G128">
        <v>1</v>
      </c>
      <c r="H128">
        <v>3</v>
      </c>
      <c r="I128">
        <v>5</v>
      </c>
      <c r="J128">
        <v>0</v>
      </c>
      <c r="K128">
        <v>0</v>
      </c>
      <c r="L128">
        <v>2</v>
      </c>
      <c r="M128" s="1">
        <f>C128/$B128-1</f>
        <v>-0.30761994355597366</v>
      </c>
      <c r="N128" s="1">
        <f>D128/$B128-1</f>
        <v>-0.12135465663217315</v>
      </c>
      <c r="O128" s="1">
        <f>E128/$B128-1</f>
        <v>0.84642521166509876</v>
      </c>
      <c r="P128">
        <f>_xlfn.RANK.EQ(M128,M$2:M$564)</f>
        <v>107</v>
      </c>
      <c r="Q128">
        <f>_xlfn.RANK.EQ(N128,N$2:N$564)</f>
        <v>123</v>
      </c>
      <c r="R128">
        <f>_xlfn.RANK.EQ(O128,O$2:O$564)</f>
        <v>186</v>
      </c>
      <c r="S128">
        <f>SUM(P128:R128)</f>
        <v>416</v>
      </c>
      <c r="T128">
        <f>_xlfn.RANK.EQ(S128,S$2:S$564, 1)</f>
        <v>126</v>
      </c>
    </row>
    <row r="129" spans="1:20" x14ac:dyDescent="0.35">
      <c r="A129" t="s">
        <v>27</v>
      </c>
      <c r="B129">
        <v>259.33</v>
      </c>
      <c r="C129">
        <v>92.52</v>
      </c>
      <c r="D129">
        <v>253.16</v>
      </c>
      <c r="E129">
        <v>1458.16</v>
      </c>
      <c r="F129">
        <v>7.46</v>
      </c>
      <c r="G129">
        <v>2</v>
      </c>
      <c r="H129">
        <v>10</v>
      </c>
      <c r="I129">
        <v>18</v>
      </c>
      <c r="J129">
        <v>0</v>
      </c>
      <c r="K129">
        <v>1</v>
      </c>
      <c r="L129">
        <v>3</v>
      </c>
      <c r="M129" s="1">
        <f>C129/$B129-1</f>
        <v>-0.64323448887517831</v>
      </c>
      <c r="N129" s="1">
        <f>D129/$B129-1</f>
        <v>-2.3792079589711856E-2</v>
      </c>
      <c r="O129" s="1">
        <f>E129/$B129-1</f>
        <v>4.6227972081903372</v>
      </c>
      <c r="P129">
        <f>_xlfn.RANK.EQ(M129,M$2:M$564)</f>
        <v>270</v>
      </c>
      <c r="Q129">
        <f>_xlfn.RANK.EQ(N129,N$2:N$564)</f>
        <v>107</v>
      </c>
      <c r="R129">
        <f>_xlfn.RANK.EQ(O129,O$2:O$564)</f>
        <v>39</v>
      </c>
      <c r="S129">
        <f>SUM(P129:R129)</f>
        <v>416</v>
      </c>
      <c r="T129">
        <f>_xlfn.RANK.EQ(S129,S$2:S$564, 1)</f>
        <v>126</v>
      </c>
    </row>
    <row r="130" spans="1:20" x14ac:dyDescent="0.35">
      <c r="A130" t="s">
        <v>230</v>
      </c>
      <c r="B130">
        <v>560</v>
      </c>
      <c r="C130">
        <v>377.74</v>
      </c>
      <c r="D130">
        <v>499.79</v>
      </c>
      <c r="E130">
        <v>1020.16</v>
      </c>
      <c r="F130">
        <v>10.78</v>
      </c>
      <c r="G130">
        <v>1</v>
      </c>
      <c r="H130">
        <v>4</v>
      </c>
      <c r="I130">
        <v>7</v>
      </c>
      <c r="J130">
        <v>0</v>
      </c>
      <c r="K130">
        <v>0</v>
      </c>
      <c r="L130">
        <v>2</v>
      </c>
      <c r="M130" s="1">
        <f>C130/$B130-1</f>
        <v>-0.32546428571428565</v>
      </c>
      <c r="N130" s="1">
        <f>D130/$B130-1</f>
        <v>-0.10751785714285711</v>
      </c>
      <c r="O130" s="1">
        <f>E130/$B130-1</f>
        <v>0.82171428571428562</v>
      </c>
      <c r="P130">
        <f>_xlfn.RANK.EQ(M130,M$2:M$564)</f>
        <v>111</v>
      </c>
      <c r="Q130">
        <f>_xlfn.RANK.EQ(N130,N$2:N$564)</f>
        <v>118</v>
      </c>
      <c r="R130">
        <f>_xlfn.RANK.EQ(O130,O$2:O$564)</f>
        <v>189</v>
      </c>
      <c r="S130">
        <f>SUM(P130:R130)</f>
        <v>418</v>
      </c>
      <c r="T130">
        <f>_xlfn.RANK.EQ(S130,S$2:S$564, 1)</f>
        <v>129</v>
      </c>
    </row>
    <row r="131" spans="1:20" x14ac:dyDescent="0.35">
      <c r="A131" t="s">
        <v>327</v>
      </c>
      <c r="B131">
        <v>474.44</v>
      </c>
      <c r="C131">
        <v>245.22</v>
      </c>
      <c r="D131">
        <v>386.19</v>
      </c>
      <c r="E131">
        <v>1340.07</v>
      </c>
      <c r="F131">
        <v>11.8</v>
      </c>
      <c r="G131">
        <v>1</v>
      </c>
      <c r="H131">
        <v>6</v>
      </c>
      <c r="I131">
        <v>11</v>
      </c>
      <c r="J131">
        <v>0</v>
      </c>
      <c r="K131">
        <v>0</v>
      </c>
      <c r="L131">
        <v>2</v>
      </c>
      <c r="M131" s="1">
        <f>C131/$B131-1</f>
        <v>-0.48313801534440604</v>
      </c>
      <c r="N131" s="1">
        <f>D131/$B131-1</f>
        <v>-0.18600876823202095</v>
      </c>
      <c r="O131" s="1">
        <f>E131/$B131-1</f>
        <v>1.8245299721777251</v>
      </c>
      <c r="P131">
        <f>_xlfn.RANK.EQ(M131,M$2:M$564)</f>
        <v>170</v>
      </c>
      <c r="Q131">
        <f>_xlfn.RANK.EQ(N131,N$2:N$564)</f>
        <v>139</v>
      </c>
      <c r="R131">
        <f>_xlfn.RANK.EQ(O131,O$2:O$564)</f>
        <v>110</v>
      </c>
      <c r="S131">
        <f>SUM(P131:R131)</f>
        <v>419</v>
      </c>
      <c r="T131">
        <f>_xlfn.RANK.EQ(S131,S$2:S$564, 1)</f>
        <v>130</v>
      </c>
    </row>
    <row r="132" spans="1:20" x14ac:dyDescent="0.35">
      <c r="A132" t="s">
        <v>345</v>
      </c>
      <c r="B132">
        <v>23.45</v>
      </c>
      <c r="C132">
        <v>7.92</v>
      </c>
      <c r="D132">
        <v>19.899999999999999</v>
      </c>
      <c r="E132">
        <v>196.02</v>
      </c>
      <c r="F132">
        <v>12.89</v>
      </c>
      <c r="G132">
        <v>2</v>
      </c>
      <c r="H132">
        <v>10</v>
      </c>
      <c r="I132">
        <v>18</v>
      </c>
      <c r="J132">
        <v>0</v>
      </c>
      <c r="K132">
        <v>0</v>
      </c>
      <c r="L132">
        <v>2</v>
      </c>
      <c r="M132" s="1">
        <f>C132/$B132-1</f>
        <v>-0.66226012793176969</v>
      </c>
      <c r="N132" s="1">
        <f>D132/$B132-1</f>
        <v>-0.15138592750533053</v>
      </c>
      <c r="O132" s="1">
        <f>E132/$B132-1</f>
        <v>7.3590618336887008</v>
      </c>
      <c r="P132">
        <f>_xlfn.RANK.EQ(M132,M$2:M$564)</f>
        <v>280</v>
      </c>
      <c r="Q132">
        <f>_xlfn.RANK.EQ(N132,N$2:N$564)</f>
        <v>128</v>
      </c>
      <c r="R132">
        <f>_xlfn.RANK.EQ(O132,O$2:O$564)</f>
        <v>17</v>
      </c>
      <c r="S132">
        <f>SUM(P132:R132)</f>
        <v>425</v>
      </c>
      <c r="T132">
        <f>_xlfn.RANK.EQ(S132,S$2:S$564, 1)</f>
        <v>131</v>
      </c>
    </row>
    <row r="133" spans="1:20" x14ac:dyDescent="0.35">
      <c r="A133" t="s">
        <v>320</v>
      </c>
      <c r="B133">
        <v>195.99</v>
      </c>
      <c r="C133">
        <v>73.36</v>
      </c>
      <c r="D133">
        <v>170.98</v>
      </c>
      <c r="E133">
        <v>904.19</v>
      </c>
      <c r="F133">
        <v>9.76</v>
      </c>
      <c r="G133">
        <v>2</v>
      </c>
      <c r="H133">
        <v>10</v>
      </c>
      <c r="I133">
        <v>18</v>
      </c>
      <c r="J133">
        <v>0</v>
      </c>
      <c r="K133">
        <v>1</v>
      </c>
      <c r="L133">
        <v>2</v>
      </c>
      <c r="M133" s="1">
        <f>C133/$B133-1</f>
        <v>-0.62569518853002704</v>
      </c>
      <c r="N133" s="1">
        <f>D133/$B133-1</f>
        <v>-0.12760855145670702</v>
      </c>
      <c r="O133" s="1">
        <f>E133/$B133-1</f>
        <v>3.6134496657992754</v>
      </c>
      <c r="P133">
        <f>_xlfn.RANK.EQ(M133,M$2:M$564)</f>
        <v>253</v>
      </c>
      <c r="Q133">
        <f>_xlfn.RANK.EQ(N133,N$2:N$564)</f>
        <v>124</v>
      </c>
      <c r="R133">
        <f>_xlfn.RANK.EQ(O133,O$2:O$564)</f>
        <v>50</v>
      </c>
      <c r="S133">
        <f>SUM(P133:R133)</f>
        <v>427</v>
      </c>
      <c r="T133">
        <f>_xlfn.RANK.EQ(S133,S$2:S$564, 1)</f>
        <v>132</v>
      </c>
    </row>
    <row r="134" spans="1:20" x14ac:dyDescent="0.35">
      <c r="A134" t="s">
        <v>173</v>
      </c>
      <c r="B134">
        <v>68.319999999999993</v>
      </c>
      <c r="C134">
        <v>51.42</v>
      </c>
      <c r="D134">
        <v>51.66</v>
      </c>
      <c r="E134">
        <v>121.43</v>
      </c>
      <c r="F134">
        <v>12.84</v>
      </c>
      <c r="G134">
        <v>-3</v>
      </c>
      <c r="H134">
        <v>1</v>
      </c>
      <c r="I134">
        <v>5</v>
      </c>
      <c r="J134">
        <v>0</v>
      </c>
      <c r="K134">
        <v>0</v>
      </c>
      <c r="L134">
        <v>2</v>
      </c>
      <c r="M134" s="1">
        <f>C134/$B134-1</f>
        <v>-0.24736533957845419</v>
      </c>
      <c r="N134" s="1">
        <f>D134/$B134-1</f>
        <v>-0.24385245901639341</v>
      </c>
      <c r="O134" s="1">
        <f>E134/$B134-1</f>
        <v>0.77737119437939128</v>
      </c>
      <c r="P134">
        <f>_xlfn.RANK.EQ(M134,M$2:M$564)</f>
        <v>83</v>
      </c>
      <c r="Q134">
        <f>_xlfn.RANK.EQ(N134,N$2:N$564)</f>
        <v>151</v>
      </c>
      <c r="R134">
        <f>_xlfn.RANK.EQ(O134,O$2:O$564)</f>
        <v>194</v>
      </c>
      <c r="S134">
        <f>SUM(P134:R134)</f>
        <v>428</v>
      </c>
      <c r="T134">
        <f>_xlfn.RANK.EQ(S134,S$2:S$564, 1)</f>
        <v>133</v>
      </c>
    </row>
    <row r="135" spans="1:20" x14ac:dyDescent="0.35">
      <c r="A135" t="s">
        <v>120</v>
      </c>
      <c r="B135">
        <v>74.98</v>
      </c>
      <c r="C135">
        <v>43.21</v>
      </c>
      <c r="D135">
        <v>55.99</v>
      </c>
      <c r="E135">
        <v>183.08</v>
      </c>
      <c r="F135">
        <v>12.91</v>
      </c>
      <c r="G135">
        <v>0</v>
      </c>
      <c r="H135">
        <v>2</v>
      </c>
      <c r="I135">
        <v>5</v>
      </c>
      <c r="J135">
        <v>0</v>
      </c>
      <c r="K135">
        <v>0</v>
      </c>
      <c r="L135">
        <v>2</v>
      </c>
      <c r="M135" s="1">
        <f>C135/$B135-1</f>
        <v>-0.42371299013070152</v>
      </c>
      <c r="N135" s="1">
        <f>D135/$B135-1</f>
        <v>-0.25326753801013602</v>
      </c>
      <c r="O135" s="1">
        <f>E135/$B135-1</f>
        <v>1.4417177914110431</v>
      </c>
      <c r="P135">
        <f>_xlfn.RANK.EQ(M135,M$2:M$564)</f>
        <v>142</v>
      </c>
      <c r="Q135">
        <f>_xlfn.RANK.EQ(N135,N$2:N$564)</f>
        <v>158</v>
      </c>
      <c r="R135">
        <f>_xlfn.RANK.EQ(O135,O$2:O$564)</f>
        <v>133</v>
      </c>
      <c r="S135">
        <f>SUM(P135:R135)</f>
        <v>433</v>
      </c>
      <c r="T135">
        <f>_xlfn.RANK.EQ(S135,S$2:S$564, 1)</f>
        <v>134</v>
      </c>
    </row>
    <row r="136" spans="1:20" x14ac:dyDescent="0.35">
      <c r="A136" t="s">
        <v>125</v>
      </c>
      <c r="B136">
        <v>323.04000000000002</v>
      </c>
      <c r="C136">
        <v>114.44</v>
      </c>
      <c r="D136">
        <v>276.06</v>
      </c>
      <c r="E136">
        <v>1828.76</v>
      </c>
      <c r="F136">
        <v>6.62</v>
      </c>
      <c r="G136">
        <v>2</v>
      </c>
      <c r="H136">
        <v>10</v>
      </c>
      <c r="I136">
        <v>18</v>
      </c>
      <c r="J136">
        <v>0</v>
      </c>
      <c r="K136">
        <v>1</v>
      </c>
      <c r="L136">
        <v>2</v>
      </c>
      <c r="M136" s="1">
        <f>C136/$B136-1</f>
        <v>-0.64574046557701836</v>
      </c>
      <c r="N136" s="1">
        <f>D136/$B136-1</f>
        <v>-0.14543090638930167</v>
      </c>
      <c r="O136" s="1">
        <f>E136/$B136-1</f>
        <v>4.6610946012877656</v>
      </c>
      <c r="P136">
        <f>_xlfn.RANK.EQ(M136,M$2:M$564)</f>
        <v>273</v>
      </c>
      <c r="Q136">
        <f>_xlfn.RANK.EQ(N136,N$2:N$564)</f>
        <v>125</v>
      </c>
      <c r="R136">
        <f>_xlfn.RANK.EQ(O136,O$2:O$564)</f>
        <v>38</v>
      </c>
      <c r="S136">
        <f>SUM(P136:R136)</f>
        <v>436</v>
      </c>
      <c r="T136">
        <f>_xlfn.RANK.EQ(S136,S$2:S$564, 1)</f>
        <v>135</v>
      </c>
    </row>
    <row r="137" spans="1:20" x14ac:dyDescent="0.35">
      <c r="A137" t="s">
        <v>103</v>
      </c>
      <c r="B137">
        <v>349.36</v>
      </c>
      <c r="C137">
        <v>173.27</v>
      </c>
      <c r="D137">
        <v>335.55</v>
      </c>
      <c r="E137">
        <v>797.06</v>
      </c>
      <c r="F137">
        <v>7.95</v>
      </c>
      <c r="G137">
        <v>1</v>
      </c>
      <c r="H137">
        <v>5</v>
      </c>
      <c r="I137">
        <v>9</v>
      </c>
      <c r="J137">
        <v>0</v>
      </c>
      <c r="K137">
        <v>2</v>
      </c>
      <c r="L137">
        <v>3</v>
      </c>
      <c r="M137" s="1">
        <f>C137/$B137-1</f>
        <v>-0.50403595145408753</v>
      </c>
      <c r="N137" s="1">
        <f>D137/$B137-1</f>
        <v>-3.9529425234714921E-2</v>
      </c>
      <c r="O137" s="1">
        <f>E137/$B137-1</f>
        <v>1.2814861460957174</v>
      </c>
      <c r="P137">
        <f>_xlfn.RANK.EQ(M137,M$2:M$564)</f>
        <v>178</v>
      </c>
      <c r="Q137">
        <f>_xlfn.RANK.EQ(N137,N$2:N$564)</f>
        <v>111</v>
      </c>
      <c r="R137">
        <f>_xlfn.RANK.EQ(O137,O$2:O$564)</f>
        <v>149</v>
      </c>
      <c r="S137">
        <f>SUM(P137:R137)</f>
        <v>438</v>
      </c>
      <c r="T137">
        <f>_xlfn.RANK.EQ(S137,S$2:S$564, 1)</f>
        <v>136</v>
      </c>
    </row>
    <row r="138" spans="1:20" x14ac:dyDescent="0.35">
      <c r="A138" t="s">
        <v>233</v>
      </c>
      <c r="B138">
        <v>46.49</v>
      </c>
      <c r="C138">
        <v>27.15</v>
      </c>
      <c r="D138">
        <v>37.67</v>
      </c>
      <c r="E138">
        <v>95.62</v>
      </c>
      <c r="F138">
        <v>11.52</v>
      </c>
      <c r="G138">
        <v>1</v>
      </c>
      <c r="H138">
        <v>4</v>
      </c>
      <c r="I138">
        <v>7</v>
      </c>
      <c r="J138">
        <v>0</v>
      </c>
      <c r="K138">
        <v>0</v>
      </c>
      <c r="L138">
        <v>2</v>
      </c>
      <c r="M138" s="1">
        <f>C138/$B138-1</f>
        <v>-0.41600344160034419</v>
      </c>
      <c r="N138" s="1">
        <f>D138/$B138-1</f>
        <v>-0.18971821897182195</v>
      </c>
      <c r="O138" s="1">
        <f>E138/$B138-1</f>
        <v>1.0567864056786407</v>
      </c>
      <c r="P138">
        <f>_xlfn.RANK.EQ(M138,M$2:M$564)</f>
        <v>137</v>
      </c>
      <c r="Q138">
        <f>_xlfn.RANK.EQ(N138,N$2:N$564)</f>
        <v>141</v>
      </c>
      <c r="R138">
        <f>_xlfn.RANK.EQ(O138,O$2:O$564)</f>
        <v>169</v>
      </c>
      <c r="S138">
        <f>SUM(P138:R138)</f>
        <v>447</v>
      </c>
      <c r="T138">
        <f>_xlfn.RANK.EQ(S138,S$2:S$564, 1)</f>
        <v>137</v>
      </c>
    </row>
    <row r="139" spans="1:20" x14ac:dyDescent="0.35">
      <c r="A139" t="s">
        <v>118</v>
      </c>
      <c r="B139">
        <v>38.630000000000003</v>
      </c>
      <c r="C139">
        <v>14.38</v>
      </c>
      <c r="D139">
        <v>34.020000000000003</v>
      </c>
      <c r="E139">
        <v>137.58000000000001</v>
      </c>
      <c r="F139">
        <v>6.97</v>
      </c>
      <c r="G139">
        <v>1</v>
      </c>
      <c r="H139">
        <v>7</v>
      </c>
      <c r="I139">
        <v>12</v>
      </c>
      <c r="J139">
        <v>0</v>
      </c>
      <c r="K139">
        <v>2</v>
      </c>
      <c r="L139">
        <v>4</v>
      </c>
      <c r="M139" s="1">
        <f>C139/$B139-1</f>
        <v>-0.62775045301579091</v>
      </c>
      <c r="N139" s="1">
        <f>D139/$B139-1</f>
        <v>-0.11933730261454822</v>
      </c>
      <c r="O139" s="1">
        <f>E139/$B139-1</f>
        <v>2.5614807144706186</v>
      </c>
      <c r="P139">
        <f>_xlfn.RANK.EQ(M139,M$2:M$564)</f>
        <v>256</v>
      </c>
      <c r="Q139">
        <f>_xlfn.RANK.EQ(N139,N$2:N$564)</f>
        <v>122</v>
      </c>
      <c r="R139">
        <f>_xlfn.RANK.EQ(O139,O$2:O$564)</f>
        <v>69</v>
      </c>
      <c r="S139">
        <f>SUM(P139:R139)</f>
        <v>447</v>
      </c>
      <c r="T139">
        <f>_xlfn.RANK.EQ(S139,S$2:S$564, 1)</f>
        <v>137</v>
      </c>
    </row>
    <row r="140" spans="1:20" x14ac:dyDescent="0.35">
      <c r="A140" t="s">
        <v>389</v>
      </c>
      <c r="B140">
        <v>23.68</v>
      </c>
      <c r="C140">
        <v>19.59</v>
      </c>
      <c r="D140">
        <v>19.399999999999999</v>
      </c>
      <c r="E140">
        <v>32.770000000000003</v>
      </c>
      <c r="F140">
        <v>12.51</v>
      </c>
      <c r="G140">
        <v>-3</v>
      </c>
      <c r="H140">
        <v>1</v>
      </c>
      <c r="I140">
        <v>5</v>
      </c>
      <c r="J140">
        <v>0</v>
      </c>
      <c r="K140">
        <v>0</v>
      </c>
      <c r="L140">
        <v>2</v>
      </c>
      <c r="M140" s="1">
        <f>C140/$B140-1</f>
        <v>-0.17271959459459463</v>
      </c>
      <c r="N140" s="1">
        <f>D140/$B140-1</f>
        <v>-0.18074324324324331</v>
      </c>
      <c r="O140" s="1">
        <f>E140/$B140-1</f>
        <v>0.38386824324324342</v>
      </c>
      <c r="P140">
        <f>_xlfn.RANK.EQ(M140,M$2:M$564)</f>
        <v>70</v>
      </c>
      <c r="Q140">
        <f>_xlfn.RANK.EQ(N140,N$2:N$564)</f>
        <v>138</v>
      </c>
      <c r="R140">
        <f>_xlfn.RANK.EQ(O140,O$2:O$564)</f>
        <v>240</v>
      </c>
      <c r="S140">
        <f>SUM(P140:R140)</f>
        <v>448</v>
      </c>
      <c r="T140">
        <f>_xlfn.RANK.EQ(S140,S$2:S$564, 1)</f>
        <v>139</v>
      </c>
    </row>
    <row r="141" spans="1:20" x14ac:dyDescent="0.35">
      <c r="A141" t="s">
        <v>15</v>
      </c>
      <c r="B141">
        <v>6.83</v>
      </c>
      <c r="C141">
        <v>4.29</v>
      </c>
      <c r="D141">
        <v>5.0999999999999996</v>
      </c>
      <c r="E141">
        <v>14.19</v>
      </c>
      <c r="F141">
        <v>12.76</v>
      </c>
      <c r="G141">
        <v>0</v>
      </c>
      <c r="H141">
        <v>1</v>
      </c>
      <c r="I141">
        <v>5</v>
      </c>
      <c r="J141">
        <v>0</v>
      </c>
      <c r="K141">
        <v>0</v>
      </c>
      <c r="L141">
        <v>2</v>
      </c>
      <c r="M141" s="1">
        <f>C141/$B141-1</f>
        <v>-0.37188872620790625</v>
      </c>
      <c r="N141" s="1">
        <f>D141/$B141-1</f>
        <v>-0.25329428989751102</v>
      </c>
      <c r="O141" s="1">
        <f>E141/$B141-1</f>
        <v>1.0775988286969254</v>
      </c>
      <c r="P141">
        <f>_xlfn.RANK.EQ(M141,M$2:M$564)</f>
        <v>124</v>
      </c>
      <c r="Q141">
        <f>_xlfn.RANK.EQ(N141,N$2:N$564)</f>
        <v>159</v>
      </c>
      <c r="R141">
        <f>_xlfn.RANK.EQ(O141,O$2:O$564)</f>
        <v>166</v>
      </c>
      <c r="S141">
        <f>SUM(P141:R141)</f>
        <v>449</v>
      </c>
      <c r="T141">
        <f>_xlfn.RANK.EQ(S141,S$2:S$564, 1)</f>
        <v>140</v>
      </c>
    </row>
    <row r="142" spans="1:20" x14ac:dyDescent="0.35">
      <c r="A142" t="s">
        <v>529</v>
      </c>
      <c r="B142">
        <v>89.06</v>
      </c>
      <c r="C142">
        <v>48.71</v>
      </c>
      <c r="D142">
        <v>75.13</v>
      </c>
      <c r="E142">
        <v>181.65</v>
      </c>
      <c r="F142">
        <v>6.46</v>
      </c>
      <c r="G142">
        <v>0</v>
      </c>
      <c r="H142">
        <v>1</v>
      </c>
      <c r="I142">
        <v>5</v>
      </c>
      <c r="J142">
        <v>1</v>
      </c>
      <c r="K142">
        <v>3</v>
      </c>
      <c r="L142">
        <v>5</v>
      </c>
      <c r="M142" s="1">
        <f>C142/$B142-1</f>
        <v>-0.45306534920278463</v>
      </c>
      <c r="N142" s="1">
        <f>D142/$B142-1</f>
        <v>-0.15641140803952402</v>
      </c>
      <c r="O142" s="1">
        <f>E142/$B142-1</f>
        <v>1.0396362003143946</v>
      </c>
      <c r="P142">
        <f>_xlfn.RANK.EQ(M142,M$2:M$564)</f>
        <v>154</v>
      </c>
      <c r="Q142">
        <f>_xlfn.RANK.EQ(N142,N$2:N$564)</f>
        <v>131</v>
      </c>
      <c r="R142">
        <f>_xlfn.RANK.EQ(O142,O$2:O$564)</f>
        <v>170</v>
      </c>
      <c r="S142">
        <f>SUM(P142:R142)</f>
        <v>455</v>
      </c>
      <c r="T142">
        <f>_xlfn.RANK.EQ(S142,S$2:S$564, 1)</f>
        <v>141</v>
      </c>
    </row>
    <row r="143" spans="1:20" x14ac:dyDescent="0.35">
      <c r="A143" t="s">
        <v>166</v>
      </c>
      <c r="B143">
        <v>37.75</v>
      </c>
      <c r="C143">
        <v>26.74</v>
      </c>
      <c r="D143">
        <v>30.96</v>
      </c>
      <c r="E143">
        <v>54.96</v>
      </c>
      <c r="F143">
        <v>11.1</v>
      </c>
      <c r="G143">
        <v>0</v>
      </c>
      <c r="H143">
        <v>2</v>
      </c>
      <c r="I143">
        <v>5</v>
      </c>
      <c r="J143">
        <v>0</v>
      </c>
      <c r="K143">
        <v>1</v>
      </c>
      <c r="L143">
        <v>2</v>
      </c>
      <c r="M143" s="1">
        <f>C143/$B143-1</f>
        <v>-0.29165562913907284</v>
      </c>
      <c r="N143" s="1">
        <f>D143/$B143-1</f>
        <v>-0.17986754966887419</v>
      </c>
      <c r="O143" s="1">
        <f>E143/$B143-1</f>
        <v>0.45589403973509945</v>
      </c>
      <c r="P143">
        <f>_xlfn.RANK.EQ(M143,M$2:M$564)</f>
        <v>93</v>
      </c>
      <c r="Q143">
        <f>_xlfn.RANK.EQ(N143,N$2:N$564)</f>
        <v>137</v>
      </c>
      <c r="R143">
        <f>_xlfn.RANK.EQ(O143,O$2:O$564)</f>
        <v>226</v>
      </c>
      <c r="S143">
        <f>SUM(P143:R143)</f>
        <v>456</v>
      </c>
      <c r="T143">
        <f>_xlfn.RANK.EQ(S143,S$2:S$564, 1)</f>
        <v>142</v>
      </c>
    </row>
    <row r="144" spans="1:20" x14ac:dyDescent="0.35">
      <c r="A144" t="s">
        <v>406</v>
      </c>
      <c r="B144">
        <v>90.92</v>
      </c>
      <c r="C144">
        <v>63.33</v>
      </c>
      <c r="D144">
        <v>71.94</v>
      </c>
      <c r="E144">
        <v>142.69999999999999</v>
      </c>
      <c r="F144">
        <v>11.27</v>
      </c>
      <c r="G144">
        <v>0</v>
      </c>
      <c r="H144">
        <v>1</v>
      </c>
      <c r="I144">
        <v>5</v>
      </c>
      <c r="J144">
        <v>0</v>
      </c>
      <c r="K144">
        <v>1</v>
      </c>
      <c r="L144">
        <v>2</v>
      </c>
      <c r="M144" s="1">
        <f>C144/$B144-1</f>
        <v>-0.30345358556973168</v>
      </c>
      <c r="N144" s="1">
        <f>D144/$B144-1</f>
        <v>-0.20875494940607131</v>
      </c>
      <c r="O144" s="1">
        <f>E144/$B144-1</f>
        <v>0.56951165860096764</v>
      </c>
      <c r="P144">
        <f>_xlfn.RANK.EQ(M144,M$2:M$564)</f>
        <v>102</v>
      </c>
      <c r="Q144">
        <f>_xlfn.RANK.EQ(N144,N$2:N$564)</f>
        <v>146</v>
      </c>
      <c r="R144">
        <f>_xlfn.RANK.EQ(O144,O$2:O$564)</f>
        <v>209</v>
      </c>
      <c r="S144">
        <f>SUM(P144:R144)</f>
        <v>457</v>
      </c>
      <c r="T144">
        <f>_xlfn.RANK.EQ(S144,S$2:S$564, 1)</f>
        <v>143</v>
      </c>
    </row>
    <row r="145" spans="1:20" x14ac:dyDescent="0.35">
      <c r="A145" t="s">
        <v>564</v>
      </c>
      <c r="B145">
        <v>221.5</v>
      </c>
      <c r="C145">
        <v>155.58000000000001</v>
      </c>
      <c r="D145">
        <v>188.47</v>
      </c>
      <c r="E145">
        <v>315.52</v>
      </c>
      <c r="F145">
        <v>10.01</v>
      </c>
      <c r="G145">
        <v>0</v>
      </c>
      <c r="H145">
        <v>2</v>
      </c>
      <c r="I145">
        <v>5</v>
      </c>
      <c r="J145">
        <v>0</v>
      </c>
      <c r="K145">
        <v>1</v>
      </c>
      <c r="L145">
        <v>2</v>
      </c>
      <c r="M145" s="1">
        <f>C145/$B145-1</f>
        <v>-0.29760722347629787</v>
      </c>
      <c r="N145" s="1">
        <f>D145/$B145-1</f>
        <v>-0.14911963882618506</v>
      </c>
      <c r="O145" s="1">
        <f>E145/$B145-1</f>
        <v>0.42446952595936782</v>
      </c>
      <c r="P145">
        <f>_xlfn.RANK.EQ(M145,M$2:M$564)</f>
        <v>98</v>
      </c>
      <c r="Q145">
        <f>_xlfn.RANK.EQ(N145,N$2:N$564)</f>
        <v>127</v>
      </c>
      <c r="R145">
        <f>_xlfn.RANK.EQ(O145,O$2:O$564)</f>
        <v>233</v>
      </c>
      <c r="S145">
        <f>SUM(P145:R145)</f>
        <v>458</v>
      </c>
      <c r="T145">
        <f>_xlfn.RANK.EQ(S145,S$2:S$564, 1)</f>
        <v>144</v>
      </c>
    </row>
    <row r="146" spans="1:20" x14ac:dyDescent="0.35">
      <c r="A146" t="s">
        <v>181</v>
      </c>
      <c r="B146">
        <v>66.650000000000006</v>
      </c>
      <c r="C146">
        <v>47.17</v>
      </c>
      <c r="D146">
        <v>56.77</v>
      </c>
      <c r="E146">
        <v>91.64</v>
      </c>
      <c r="F146">
        <v>9.0299999999999994</v>
      </c>
      <c r="G146">
        <v>-2</v>
      </c>
      <c r="H146">
        <v>1</v>
      </c>
      <c r="I146">
        <v>5</v>
      </c>
      <c r="J146">
        <v>0</v>
      </c>
      <c r="K146">
        <v>1</v>
      </c>
      <c r="L146">
        <v>2</v>
      </c>
      <c r="M146" s="1">
        <f>C146/$B146-1</f>
        <v>-0.29227306826706678</v>
      </c>
      <c r="N146" s="1">
        <f>D146/$B146-1</f>
        <v>-0.14823705926481623</v>
      </c>
      <c r="O146" s="1">
        <f>E146/$B146-1</f>
        <v>0.37494373593398334</v>
      </c>
      <c r="P146">
        <f>_xlfn.RANK.EQ(M146,M$2:M$564)</f>
        <v>94</v>
      </c>
      <c r="Q146">
        <f>_xlfn.RANK.EQ(N146,N$2:N$564)</f>
        <v>126</v>
      </c>
      <c r="R146">
        <f>_xlfn.RANK.EQ(O146,O$2:O$564)</f>
        <v>242</v>
      </c>
      <c r="S146">
        <f>SUM(P146:R146)</f>
        <v>462</v>
      </c>
      <c r="T146">
        <f>_xlfn.RANK.EQ(S146,S$2:S$564, 1)</f>
        <v>145</v>
      </c>
    </row>
    <row r="147" spans="1:20" x14ac:dyDescent="0.35">
      <c r="A147" t="s">
        <v>432</v>
      </c>
      <c r="B147">
        <v>24.01</v>
      </c>
      <c r="C147">
        <v>15.63</v>
      </c>
      <c r="D147">
        <v>17.239999999999998</v>
      </c>
      <c r="E147">
        <v>46.26</v>
      </c>
      <c r="F147">
        <v>12.8</v>
      </c>
      <c r="G147">
        <v>-2</v>
      </c>
      <c r="H147">
        <v>1</v>
      </c>
      <c r="I147">
        <v>5</v>
      </c>
      <c r="J147">
        <v>0</v>
      </c>
      <c r="K147">
        <v>0</v>
      </c>
      <c r="L147">
        <v>2</v>
      </c>
      <c r="M147" s="1">
        <f>C147/$B147-1</f>
        <v>-0.34902124114952104</v>
      </c>
      <c r="N147" s="1">
        <f>D147/$B147-1</f>
        <v>-0.28196584756351528</v>
      </c>
      <c r="O147" s="1">
        <f>E147/$B147-1</f>
        <v>0.92669720949604306</v>
      </c>
      <c r="P147">
        <f>_xlfn.RANK.EQ(M147,M$2:M$564)</f>
        <v>118</v>
      </c>
      <c r="Q147">
        <f>_xlfn.RANK.EQ(N147,N$2:N$564)</f>
        <v>167</v>
      </c>
      <c r="R147">
        <f>_xlfn.RANK.EQ(O147,O$2:O$564)</f>
        <v>178</v>
      </c>
      <c r="S147">
        <f>SUM(P147:R147)</f>
        <v>463</v>
      </c>
      <c r="T147">
        <f>_xlfn.RANK.EQ(S147,S$2:S$564, 1)</f>
        <v>146</v>
      </c>
    </row>
    <row r="148" spans="1:20" x14ac:dyDescent="0.35">
      <c r="A148" t="s">
        <v>92</v>
      </c>
      <c r="B148">
        <v>5458.32</v>
      </c>
      <c r="C148">
        <v>2208.4299999999998</v>
      </c>
      <c r="D148">
        <v>4364.7299999999996</v>
      </c>
      <c r="E148">
        <v>16431.43</v>
      </c>
      <c r="F148">
        <v>6.13</v>
      </c>
      <c r="G148">
        <v>1</v>
      </c>
      <c r="H148">
        <v>5</v>
      </c>
      <c r="I148">
        <v>9</v>
      </c>
      <c r="J148">
        <v>1</v>
      </c>
      <c r="K148">
        <v>5</v>
      </c>
      <c r="L148">
        <v>9</v>
      </c>
      <c r="M148" s="1">
        <f>C148/$B148-1</f>
        <v>-0.59540114907150921</v>
      </c>
      <c r="N148" s="1">
        <f>D148/$B148-1</f>
        <v>-0.20035285582376994</v>
      </c>
      <c r="O148" s="1">
        <f>E148/$B148-1</f>
        <v>2.010345674126838</v>
      </c>
      <c r="P148">
        <f>_xlfn.RANK.EQ(M148,M$2:M$564)</f>
        <v>220</v>
      </c>
      <c r="Q148">
        <f>_xlfn.RANK.EQ(N148,N$2:N$564)</f>
        <v>143</v>
      </c>
      <c r="R148">
        <f>_xlfn.RANK.EQ(O148,O$2:O$564)</f>
        <v>100</v>
      </c>
      <c r="S148">
        <f>SUM(P148:R148)</f>
        <v>463</v>
      </c>
      <c r="T148">
        <f>_xlfn.RANK.EQ(S148,S$2:S$564, 1)</f>
        <v>146</v>
      </c>
    </row>
    <row r="149" spans="1:20" x14ac:dyDescent="0.35">
      <c r="A149" t="s">
        <v>357</v>
      </c>
      <c r="B149">
        <v>153.25</v>
      </c>
      <c r="C149">
        <v>55.18</v>
      </c>
      <c r="D149">
        <v>121.88</v>
      </c>
      <c r="E149">
        <v>665.92</v>
      </c>
      <c r="F149">
        <v>10.47</v>
      </c>
      <c r="G149">
        <v>2</v>
      </c>
      <c r="H149">
        <v>10</v>
      </c>
      <c r="I149">
        <v>18</v>
      </c>
      <c r="J149">
        <v>0</v>
      </c>
      <c r="K149">
        <v>0</v>
      </c>
      <c r="L149">
        <v>2</v>
      </c>
      <c r="M149" s="1">
        <f>C149/$B149-1</f>
        <v>-0.63993474714518761</v>
      </c>
      <c r="N149" s="1">
        <f>D149/$B149-1</f>
        <v>-0.20469820554649265</v>
      </c>
      <c r="O149" s="1">
        <f>E149/$B149-1</f>
        <v>3.3453181076672101</v>
      </c>
      <c r="P149">
        <f>_xlfn.RANK.EQ(M149,M$2:M$564)</f>
        <v>268</v>
      </c>
      <c r="Q149">
        <f>_xlfn.RANK.EQ(N149,N$2:N$564)</f>
        <v>144</v>
      </c>
      <c r="R149">
        <f>_xlfn.RANK.EQ(O149,O$2:O$564)</f>
        <v>54</v>
      </c>
      <c r="S149">
        <f>SUM(P149:R149)</f>
        <v>466</v>
      </c>
      <c r="T149">
        <f>_xlfn.RANK.EQ(S149,S$2:S$564, 1)</f>
        <v>148</v>
      </c>
    </row>
    <row r="150" spans="1:20" x14ac:dyDescent="0.35">
      <c r="A150" t="s">
        <v>150</v>
      </c>
      <c r="B150">
        <v>514.62</v>
      </c>
      <c r="C150">
        <v>303.99</v>
      </c>
      <c r="D150">
        <v>457.07</v>
      </c>
      <c r="E150">
        <v>792.26</v>
      </c>
      <c r="F150">
        <v>8.09</v>
      </c>
      <c r="G150">
        <v>0</v>
      </c>
      <c r="H150">
        <v>1</v>
      </c>
      <c r="I150">
        <v>5</v>
      </c>
      <c r="J150">
        <v>0</v>
      </c>
      <c r="K150">
        <v>2</v>
      </c>
      <c r="L150">
        <v>3</v>
      </c>
      <c r="M150" s="1">
        <f>C150/$B150-1</f>
        <v>-0.4092922933426606</v>
      </c>
      <c r="N150" s="1">
        <f>D150/$B150-1</f>
        <v>-0.1118300882204345</v>
      </c>
      <c r="O150" s="1">
        <f>E150/$B150-1</f>
        <v>0.5395048773852551</v>
      </c>
      <c r="P150">
        <f>_xlfn.RANK.EQ(M150,M$2:M$564)</f>
        <v>135</v>
      </c>
      <c r="Q150">
        <f>_xlfn.RANK.EQ(N150,N$2:N$564)</f>
        <v>119</v>
      </c>
      <c r="R150">
        <f>_xlfn.RANK.EQ(O150,O$2:O$564)</f>
        <v>213</v>
      </c>
      <c r="S150">
        <f>SUM(P150:R150)</f>
        <v>467</v>
      </c>
      <c r="T150">
        <f>_xlfn.RANK.EQ(S150,S$2:S$564, 1)</f>
        <v>149</v>
      </c>
    </row>
    <row r="151" spans="1:20" x14ac:dyDescent="0.35">
      <c r="A151" t="s">
        <v>324</v>
      </c>
      <c r="B151">
        <v>69.17</v>
      </c>
      <c r="C151">
        <v>48.05</v>
      </c>
      <c r="D151">
        <v>53.93</v>
      </c>
      <c r="E151">
        <v>102.29</v>
      </c>
      <c r="F151">
        <v>11.39</v>
      </c>
      <c r="G151">
        <v>0</v>
      </c>
      <c r="H151">
        <v>1</v>
      </c>
      <c r="I151">
        <v>5</v>
      </c>
      <c r="J151">
        <v>0</v>
      </c>
      <c r="K151">
        <v>0</v>
      </c>
      <c r="L151">
        <v>2</v>
      </c>
      <c r="M151" s="1">
        <f>C151/$B151-1</f>
        <v>-0.3053346826658957</v>
      </c>
      <c r="N151" s="1">
        <f>D151/$B151-1</f>
        <v>-0.22032673124186786</v>
      </c>
      <c r="O151" s="1">
        <f>E151/$B151-1</f>
        <v>0.47882029781697266</v>
      </c>
      <c r="P151">
        <f>_xlfn.RANK.EQ(M151,M$2:M$564)</f>
        <v>106</v>
      </c>
      <c r="Q151">
        <f>_xlfn.RANK.EQ(N151,N$2:N$564)</f>
        <v>147</v>
      </c>
      <c r="R151">
        <f>_xlfn.RANK.EQ(O151,O$2:O$564)</f>
        <v>219</v>
      </c>
      <c r="S151">
        <f>SUM(P151:R151)</f>
        <v>472</v>
      </c>
      <c r="T151">
        <f>_xlfn.RANK.EQ(S151,S$2:S$564, 1)</f>
        <v>150</v>
      </c>
    </row>
    <row r="152" spans="1:20" x14ac:dyDescent="0.35">
      <c r="A152" t="s">
        <v>154</v>
      </c>
      <c r="B152">
        <v>33.229999999999997</v>
      </c>
      <c r="C152">
        <v>21.39</v>
      </c>
      <c r="D152">
        <v>24.86</v>
      </c>
      <c r="E152">
        <v>58.31</v>
      </c>
      <c r="F152">
        <v>12.74</v>
      </c>
      <c r="G152">
        <v>0</v>
      </c>
      <c r="H152">
        <v>1</v>
      </c>
      <c r="I152">
        <v>5</v>
      </c>
      <c r="J152">
        <v>0</v>
      </c>
      <c r="K152">
        <v>0</v>
      </c>
      <c r="L152">
        <v>2</v>
      </c>
      <c r="M152" s="1">
        <f>C152/$B152-1</f>
        <v>-0.35630454408666856</v>
      </c>
      <c r="N152" s="1">
        <f>D152/$B152-1</f>
        <v>-0.25188083057478172</v>
      </c>
      <c r="O152" s="1">
        <f>E152/$B152-1</f>
        <v>0.75473969304845046</v>
      </c>
      <c r="P152">
        <f>_xlfn.RANK.EQ(M152,M$2:M$564)</f>
        <v>119</v>
      </c>
      <c r="Q152">
        <f>_xlfn.RANK.EQ(N152,N$2:N$564)</f>
        <v>157</v>
      </c>
      <c r="R152">
        <f>_xlfn.RANK.EQ(O152,O$2:O$564)</f>
        <v>198</v>
      </c>
      <c r="S152">
        <f>SUM(P152:R152)</f>
        <v>474</v>
      </c>
      <c r="T152">
        <f>_xlfn.RANK.EQ(S152,S$2:S$564, 1)</f>
        <v>151</v>
      </c>
    </row>
    <row r="153" spans="1:20" x14ac:dyDescent="0.35">
      <c r="A153" t="s">
        <v>539</v>
      </c>
      <c r="B153">
        <v>66.31</v>
      </c>
      <c r="C153">
        <v>22.41</v>
      </c>
      <c r="D153">
        <v>51.33</v>
      </c>
      <c r="E153">
        <v>308.06</v>
      </c>
      <c r="F153">
        <v>10.83</v>
      </c>
      <c r="G153">
        <v>2</v>
      </c>
      <c r="H153">
        <v>10</v>
      </c>
      <c r="I153">
        <v>18</v>
      </c>
      <c r="J153">
        <v>0</v>
      </c>
      <c r="K153">
        <v>0</v>
      </c>
      <c r="L153">
        <v>2</v>
      </c>
      <c r="M153" s="1">
        <f>C153/$B153-1</f>
        <v>-0.66204192429497821</v>
      </c>
      <c r="N153" s="1">
        <f>D153/$B153-1</f>
        <v>-0.22590861106922033</v>
      </c>
      <c r="O153" s="1">
        <f>E153/$B153-1</f>
        <v>3.645754788116423</v>
      </c>
      <c r="P153">
        <f>_xlfn.RANK.EQ(M153,M$2:M$564)</f>
        <v>279</v>
      </c>
      <c r="Q153">
        <f>_xlfn.RANK.EQ(N153,N$2:N$564)</f>
        <v>148</v>
      </c>
      <c r="R153">
        <f>_xlfn.RANK.EQ(O153,O$2:O$564)</f>
        <v>49</v>
      </c>
      <c r="S153">
        <f>SUM(P153:R153)</f>
        <v>476</v>
      </c>
      <c r="T153">
        <f>_xlfn.RANK.EQ(S153,S$2:S$564, 1)</f>
        <v>152</v>
      </c>
    </row>
    <row r="154" spans="1:20" x14ac:dyDescent="0.35">
      <c r="A154" t="s">
        <v>446</v>
      </c>
      <c r="B154">
        <v>152.80000000000001</v>
      </c>
      <c r="C154">
        <v>84.04</v>
      </c>
      <c r="D154">
        <v>117.04</v>
      </c>
      <c r="E154">
        <v>275.77999999999997</v>
      </c>
      <c r="F154">
        <v>6</v>
      </c>
      <c r="G154">
        <v>0</v>
      </c>
      <c r="H154">
        <v>1</v>
      </c>
      <c r="I154">
        <v>5</v>
      </c>
      <c r="J154">
        <v>1</v>
      </c>
      <c r="K154">
        <v>5</v>
      </c>
      <c r="L154">
        <v>9</v>
      </c>
      <c r="M154" s="1">
        <f>C154/$B154-1</f>
        <v>-0.44999999999999996</v>
      </c>
      <c r="N154" s="1">
        <f>D154/$B154-1</f>
        <v>-0.23403141361256541</v>
      </c>
      <c r="O154" s="1">
        <f>E154/$B154-1</f>
        <v>0.80484293193717238</v>
      </c>
      <c r="P154">
        <f>_xlfn.RANK.EQ(M154,M$2:M$564)</f>
        <v>151</v>
      </c>
      <c r="Q154">
        <f>_xlfn.RANK.EQ(N154,N$2:N$564)</f>
        <v>150</v>
      </c>
      <c r="R154">
        <f>_xlfn.RANK.EQ(O154,O$2:O$564)</f>
        <v>191</v>
      </c>
      <c r="S154">
        <f>SUM(P154:R154)</f>
        <v>492</v>
      </c>
      <c r="T154">
        <f>_xlfn.RANK.EQ(S154,S$2:S$564, 1)</f>
        <v>153</v>
      </c>
    </row>
    <row r="155" spans="1:20" x14ac:dyDescent="0.35">
      <c r="A155" t="s">
        <v>390</v>
      </c>
      <c r="B155">
        <v>34.75</v>
      </c>
      <c r="C155">
        <v>23.21</v>
      </c>
      <c r="D155">
        <v>23.8</v>
      </c>
      <c r="E155">
        <v>56.97</v>
      </c>
      <c r="F155">
        <v>13.1</v>
      </c>
      <c r="G155">
        <v>-3</v>
      </c>
      <c r="H155">
        <v>1</v>
      </c>
      <c r="I155">
        <v>5</v>
      </c>
      <c r="J155">
        <v>0</v>
      </c>
      <c r="K155">
        <v>0</v>
      </c>
      <c r="L155">
        <v>2</v>
      </c>
      <c r="M155" s="1">
        <f>C155/$B155-1</f>
        <v>-0.33208633093525175</v>
      </c>
      <c r="N155" s="1">
        <f>D155/$B155-1</f>
        <v>-0.31510791366906477</v>
      </c>
      <c r="O155" s="1">
        <f>E155/$B155-1</f>
        <v>0.63942446043165457</v>
      </c>
      <c r="P155">
        <f>_xlfn.RANK.EQ(M155,M$2:M$564)</f>
        <v>113</v>
      </c>
      <c r="Q155">
        <f>_xlfn.RANK.EQ(N155,N$2:N$564)</f>
        <v>178</v>
      </c>
      <c r="R155">
        <f>_xlfn.RANK.EQ(O155,O$2:O$564)</f>
        <v>204</v>
      </c>
      <c r="S155">
        <f>SUM(P155:R155)</f>
        <v>495</v>
      </c>
      <c r="T155">
        <f>_xlfn.RANK.EQ(S155,S$2:S$564, 1)</f>
        <v>154</v>
      </c>
    </row>
    <row r="156" spans="1:20" x14ac:dyDescent="0.35">
      <c r="A156" t="s">
        <v>526</v>
      </c>
      <c r="B156">
        <v>33.159999999999997</v>
      </c>
      <c r="C156">
        <v>20.37</v>
      </c>
      <c r="D156">
        <v>26.68</v>
      </c>
      <c r="E156">
        <v>48.4</v>
      </c>
      <c r="F156">
        <v>10.52</v>
      </c>
      <c r="G156">
        <v>1</v>
      </c>
      <c r="H156">
        <v>3</v>
      </c>
      <c r="I156">
        <v>5</v>
      </c>
      <c r="J156">
        <v>0</v>
      </c>
      <c r="K156">
        <v>0</v>
      </c>
      <c r="L156">
        <v>2</v>
      </c>
      <c r="M156" s="1">
        <f>C156/$B156-1</f>
        <v>-0.38570566948130269</v>
      </c>
      <c r="N156" s="1">
        <f>D156/$B156-1</f>
        <v>-0.19541616405307594</v>
      </c>
      <c r="O156" s="1">
        <f>E156/$B156-1</f>
        <v>0.45958986731001228</v>
      </c>
      <c r="P156">
        <f>_xlfn.RANK.EQ(M156,M$2:M$564)</f>
        <v>128</v>
      </c>
      <c r="Q156">
        <f>_xlfn.RANK.EQ(N156,N$2:N$564)</f>
        <v>142</v>
      </c>
      <c r="R156">
        <f>_xlfn.RANK.EQ(O156,O$2:O$564)</f>
        <v>225</v>
      </c>
      <c r="S156">
        <f>SUM(P156:R156)</f>
        <v>495</v>
      </c>
      <c r="T156">
        <f>_xlfn.RANK.EQ(S156,S$2:S$564, 1)</f>
        <v>154</v>
      </c>
    </row>
    <row r="157" spans="1:20" x14ac:dyDescent="0.35">
      <c r="A157" t="s">
        <v>176</v>
      </c>
      <c r="B157">
        <v>68.290000000000006</v>
      </c>
      <c r="C157">
        <v>41.63</v>
      </c>
      <c r="D157">
        <v>48.43</v>
      </c>
      <c r="E157">
        <v>119.88</v>
      </c>
      <c r="F157">
        <v>11.52</v>
      </c>
      <c r="G157">
        <v>-2</v>
      </c>
      <c r="H157">
        <v>1</v>
      </c>
      <c r="I157">
        <v>5</v>
      </c>
      <c r="J157">
        <v>0</v>
      </c>
      <c r="K157">
        <v>1</v>
      </c>
      <c r="L157">
        <v>2</v>
      </c>
      <c r="M157" s="1">
        <f>C157/$B157-1</f>
        <v>-0.39039390833211307</v>
      </c>
      <c r="N157" s="1">
        <f>D157/$B157-1</f>
        <v>-0.29081856787230931</v>
      </c>
      <c r="O157" s="1">
        <f>E157/$B157-1</f>
        <v>0.75545467857665805</v>
      </c>
      <c r="P157">
        <f>_xlfn.RANK.EQ(M157,M$2:M$564)</f>
        <v>132</v>
      </c>
      <c r="Q157">
        <f>_xlfn.RANK.EQ(N157,N$2:N$564)</f>
        <v>170</v>
      </c>
      <c r="R157">
        <f>_xlfn.RANK.EQ(O157,O$2:O$564)</f>
        <v>197</v>
      </c>
      <c r="S157">
        <f>SUM(P157:R157)</f>
        <v>499</v>
      </c>
      <c r="T157">
        <f>_xlfn.RANK.EQ(S157,S$2:S$564, 1)</f>
        <v>156</v>
      </c>
    </row>
    <row r="158" spans="1:20" x14ac:dyDescent="0.35">
      <c r="A158" t="s">
        <v>552</v>
      </c>
      <c r="B158">
        <v>56.53</v>
      </c>
      <c r="C158">
        <v>32.950000000000003</v>
      </c>
      <c r="D158">
        <v>41.34</v>
      </c>
      <c r="E158">
        <v>90.75</v>
      </c>
      <c r="F158">
        <v>11.38</v>
      </c>
      <c r="G158">
        <v>0</v>
      </c>
      <c r="H158">
        <v>2</v>
      </c>
      <c r="I158">
        <v>5</v>
      </c>
      <c r="J158">
        <v>0</v>
      </c>
      <c r="K158">
        <v>1</v>
      </c>
      <c r="L158">
        <v>2</v>
      </c>
      <c r="M158" s="1">
        <f>C158/$B158-1</f>
        <v>-0.41712365115867678</v>
      </c>
      <c r="N158" s="1">
        <f>D158/$B158-1</f>
        <v>-0.26870688130196352</v>
      </c>
      <c r="O158" s="1">
        <f>E158/$B158-1</f>
        <v>0.6053422961259507</v>
      </c>
      <c r="P158">
        <f>_xlfn.RANK.EQ(M158,M$2:M$564)</f>
        <v>139</v>
      </c>
      <c r="Q158">
        <f>_xlfn.RANK.EQ(N158,N$2:N$564)</f>
        <v>163</v>
      </c>
      <c r="R158">
        <f>_xlfn.RANK.EQ(O158,O$2:O$564)</f>
        <v>207</v>
      </c>
      <c r="S158">
        <f>SUM(P158:R158)</f>
        <v>509</v>
      </c>
      <c r="T158">
        <f>_xlfn.RANK.EQ(S158,S$2:S$564, 1)</f>
        <v>157</v>
      </c>
    </row>
    <row r="159" spans="1:20" x14ac:dyDescent="0.35">
      <c r="A159" t="s">
        <v>503</v>
      </c>
      <c r="B159">
        <v>238.08</v>
      </c>
      <c r="C159">
        <v>86.79</v>
      </c>
      <c r="D159">
        <v>171.47</v>
      </c>
      <c r="E159">
        <v>775.47</v>
      </c>
      <c r="F159">
        <v>10.31</v>
      </c>
      <c r="G159">
        <v>2</v>
      </c>
      <c r="H159">
        <v>9</v>
      </c>
      <c r="I159">
        <v>16</v>
      </c>
      <c r="J159">
        <v>0</v>
      </c>
      <c r="K159">
        <v>1</v>
      </c>
      <c r="L159">
        <v>2</v>
      </c>
      <c r="M159" s="1">
        <f>C159/$B159-1</f>
        <v>-0.63545866935483875</v>
      </c>
      <c r="N159" s="1">
        <f>D159/$B159-1</f>
        <v>-0.2797799059139785</v>
      </c>
      <c r="O159" s="1">
        <f>E159/$B159-1</f>
        <v>2.2571824596774195</v>
      </c>
      <c r="P159">
        <f>_xlfn.RANK.EQ(M159,M$2:M$564)</f>
        <v>264</v>
      </c>
      <c r="Q159">
        <f>_xlfn.RANK.EQ(N159,N$2:N$564)</f>
        <v>166</v>
      </c>
      <c r="R159">
        <f>_xlfn.RANK.EQ(O159,O$2:O$564)</f>
        <v>81</v>
      </c>
      <c r="S159">
        <f>SUM(P159:R159)</f>
        <v>511</v>
      </c>
      <c r="T159">
        <f>_xlfn.RANK.EQ(S159,S$2:S$564, 1)</f>
        <v>158</v>
      </c>
    </row>
    <row r="160" spans="1:20" x14ac:dyDescent="0.35">
      <c r="A160" t="s">
        <v>107</v>
      </c>
      <c r="B160">
        <v>114.55</v>
      </c>
      <c r="C160">
        <v>72.17</v>
      </c>
      <c r="D160">
        <v>91.09</v>
      </c>
      <c r="E160">
        <v>152.08000000000001</v>
      </c>
      <c r="F160">
        <v>10.220000000000001</v>
      </c>
      <c r="G160">
        <v>1</v>
      </c>
      <c r="H160">
        <v>3</v>
      </c>
      <c r="I160">
        <v>5</v>
      </c>
      <c r="J160">
        <v>0</v>
      </c>
      <c r="K160">
        <v>1</v>
      </c>
      <c r="L160">
        <v>2</v>
      </c>
      <c r="M160" s="1">
        <f>C160/$B160-1</f>
        <v>-0.36996944565691836</v>
      </c>
      <c r="N160" s="1">
        <f>D160/$B160-1</f>
        <v>-0.20480139676996945</v>
      </c>
      <c r="O160" s="1">
        <f>E160/$B160-1</f>
        <v>0.32762985595809702</v>
      </c>
      <c r="P160">
        <f>_xlfn.RANK.EQ(M160,M$2:M$564)</f>
        <v>123</v>
      </c>
      <c r="Q160">
        <f>_xlfn.RANK.EQ(N160,N$2:N$564)</f>
        <v>145</v>
      </c>
      <c r="R160">
        <f>_xlfn.RANK.EQ(O160,O$2:O$564)</f>
        <v>250</v>
      </c>
      <c r="S160">
        <f>SUM(P160:R160)</f>
        <v>518</v>
      </c>
      <c r="T160">
        <f>_xlfn.RANK.EQ(S160,S$2:S$564, 1)</f>
        <v>159</v>
      </c>
    </row>
    <row r="161" spans="1:20" x14ac:dyDescent="0.35">
      <c r="A161" t="s">
        <v>165</v>
      </c>
      <c r="B161">
        <v>24.43</v>
      </c>
      <c r="C161">
        <v>15.96</v>
      </c>
      <c r="D161">
        <v>16.36</v>
      </c>
      <c r="E161">
        <v>36.03</v>
      </c>
      <c r="F161">
        <v>12.22</v>
      </c>
      <c r="G161">
        <v>-3</v>
      </c>
      <c r="H161">
        <v>1</v>
      </c>
      <c r="I161">
        <v>5</v>
      </c>
      <c r="J161">
        <v>0</v>
      </c>
      <c r="K161">
        <v>0</v>
      </c>
      <c r="L161">
        <v>2</v>
      </c>
      <c r="M161" s="1">
        <f>C161/$B161-1</f>
        <v>-0.34670487106017189</v>
      </c>
      <c r="N161" s="1">
        <f>D161/$B161-1</f>
        <v>-0.3303315595579206</v>
      </c>
      <c r="O161" s="1">
        <f>E161/$B161-1</f>
        <v>0.47482603356528874</v>
      </c>
      <c r="P161">
        <f>_xlfn.RANK.EQ(M161,M$2:M$564)</f>
        <v>117</v>
      </c>
      <c r="Q161">
        <f>_xlfn.RANK.EQ(N161,N$2:N$564)</f>
        <v>184</v>
      </c>
      <c r="R161">
        <f>_xlfn.RANK.EQ(O161,O$2:O$564)</f>
        <v>220</v>
      </c>
      <c r="S161">
        <f>SUM(P161:R161)</f>
        <v>521</v>
      </c>
      <c r="T161">
        <f>_xlfn.RANK.EQ(S161,S$2:S$564, 1)</f>
        <v>160</v>
      </c>
    </row>
    <row r="162" spans="1:20" x14ac:dyDescent="0.35">
      <c r="A162" t="s">
        <v>414</v>
      </c>
      <c r="B162">
        <v>40.83</v>
      </c>
      <c r="C162">
        <v>25.17</v>
      </c>
      <c r="D162">
        <v>29.1</v>
      </c>
      <c r="E162">
        <v>59.17</v>
      </c>
      <c r="F162">
        <v>12.09</v>
      </c>
      <c r="G162">
        <v>0</v>
      </c>
      <c r="H162">
        <v>2</v>
      </c>
      <c r="I162">
        <v>5</v>
      </c>
      <c r="J162">
        <v>0</v>
      </c>
      <c r="K162">
        <v>0</v>
      </c>
      <c r="L162">
        <v>2</v>
      </c>
      <c r="M162" s="1">
        <f>C162/$B162-1</f>
        <v>-0.3835415135929463</v>
      </c>
      <c r="N162" s="1">
        <f>D162/$B162-1</f>
        <v>-0.28728875826598088</v>
      </c>
      <c r="O162" s="1">
        <f>E162/$B162-1</f>
        <v>0.44917952485917234</v>
      </c>
      <c r="P162">
        <f>_xlfn.RANK.EQ(M162,M$2:M$564)</f>
        <v>127</v>
      </c>
      <c r="Q162">
        <f>_xlfn.RANK.EQ(N162,N$2:N$564)</f>
        <v>168</v>
      </c>
      <c r="R162">
        <f>_xlfn.RANK.EQ(O162,O$2:O$564)</f>
        <v>228</v>
      </c>
      <c r="S162">
        <f>SUM(P162:R162)</f>
        <v>523</v>
      </c>
      <c r="T162">
        <f>_xlfn.RANK.EQ(S162,S$2:S$564, 1)</f>
        <v>161</v>
      </c>
    </row>
    <row r="163" spans="1:20" x14ac:dyDescent="0.35">
      <c r="A163" t="s">
        <v>139</v>
      </c>
      <c r="B163">
        <v>43.97</v>
      </c>
      <c r="C163">
        <v>27.76</v>
      </c>
      <c r="D163">
        <v>32.28</v>
      </c>
      <c r="E163">
        <v>60.4</v>
      </c>
      <c r="F163">
        <v>10.98</v>
      </c>
      <c r="G163">
        <v>0</v>
      </c>
      <c r="H163">
        <v>1</v>
      </c>
      <c r="I163">
        <v>5</v>
      </c>
      <c r="J163">
        <v>0</v>
      </c>
      <c r="K163">
        <v>1</v>
      </c>
      <c r="L163">
        <v>2</v>
      </c>
      <c r="M163" s="1">
        <f>C163/$B163-1</f>
        <v>-0.36866045030702743</v>
      </c>
      <c r="N163" s="1">
        <f>D163/$B163-1</f>
        <v>-0.26586308846941087</v>
      </c>
      <c r="O163" s="1">
        <f>E163/$B163-1</f>
        <v>0.37366386172390276</v>
      </c>
      <c r="P163">
        <f>_xlfn.RANK.EQ(M163,M$2:M$564)</f>
        <v>122</v>
      </c>
      <c r="Q163">
        <f>_xlfn.RANK.EQ(N163,N$2:N$564)</f>
        <v>160</v>
      </c>
      <c r="R163">
        <f>_xlfn.RANK.EQ(O163,O$2:O$564)</f>
        <v>244</v>
      </c>
      <c r="S163">
        <f>SUM(P163:R163)</f>
        <v>526</v>
      </c>
      <c r="T163">
        <f>_xlfn.RANK.EQ(S163,S$2:S$564, 1)</f>
        <v>162</v>
      </c>
    </row>
    <row r="164" spans="1:20" x14ac:dyDescent="0.35">
      <c r="A164" t="s">
        <v>546</v>
      </c>
      <c r="B164">
        <v>276.44</v>
      </c>
      <c r="C164">
        <v>149.12</v>
      </c>
      <c r="D164">
        <v>169.81</v>
      </c>
      <c r="E164">
        <v>573.99</v>
      </c>
      <c r="F164">
        <v>14.13</v>
      </c>
      <c r="G164">
        <v>1</v>
      </c>
      <c r="H164">
        <v>5</v>
      </c>
      <c r="I164">
        <v>9</v>
      </c>
      <c r="J164">
        <v>0</v>
      </c>
      <c r="K164">
        <v>1</v>
      </c>
      <c r="L164">
        <v>2</v>
      </c>
      <c r="M164" s="1">
        <f>C164/$B164-1</f>
        <v>-0.46057010562870782</v>
      </c>
      <c r="N164" s="1">
        <f>D164/$B164-1</f>
        <v>-0.38572565475329179</v>
      </c>
      <c r="O164" s="1">
        <f>E164/$B164-1</f>
        <v>1.0763637679062366</v>
      </c>
      <c r="P164">
        <f>_xlfn.RANK.EQ(M164,M$2:M$564)</f>
        <v>157</v>
      </c>
      <c r="Q164">
        <f>_xlfn.RANK.EQ(N164,N$2:N$564)</f>
        <v>206</v>
      </c>
      <c r="R164">
        <f>_xlfn.RANK.EQ(O164,O$2:O$564)</f>
        <v>167</v>
      </c>
      <c r="S164">
        <f>SUM(P164:R164)</f>
        <v>530</v>
      </c>
      <c r="T164">
        <f>_xlfn.RANK.EQ(S164,S$2:S$564, 1)</f>
        <v>163</v>
      </c>
    </row>
    <row r="165" spans="1:20" x14ac:dyDescent="0.35">
      <c r="A165" t="s">
        <v>204</v>
      </c>
      <c r="B165">
        <v>72.87</v>
      </c>
      <c r="C165">
        <v>40.5</v>
      </c>
      <c r="D165">
        <v>50.44</v>
      </c>
      <c r="E165">
        <v>115.69</v>
      </c>
      <c r="F165">
        <v>11.88</v>
      </c>
      <c r="G165">
        <v>1</v>
      </c>
      <c r="H165">
        <v>5</v>
      </c>
      <c r="I165">
        <v>8</v>
      </c>
      <c r="J165">
        <v>0</v>
      </c>
      <c r="K165">
        <v>0</v>
      </c>
      <c r="L165">
        <v>2</v>
      </c>
      <c r="M165" s="1">
        <f>C165/$B165-1</f>
        <v>-0.4442157266364759</v>
      </c>
      <c r="N165" s="1">
        <f>D165/$B165-1</f>
        <v>-0.30780842596404567</v>
      </c>
      <c r="O165" s="1">
        <f>E165/$B165-1</f>
        <v>0.58762179223274313</v>
      </c>
      <c r="P165">
        <f>_xlfn.RANK.EQ(M165,M$2:M$564)</f>
        <v>148</v>
      </c>
      <c r="Q165">
        <f>_xlfn.RANK.EQ(N165,N$2:N$564)</f>
        <v>174</v>
      </c>
      <c r="R165">
        <f>_xlfn.RANK.EQ(O165,O$2:O$564)</f>
        <v>208</v>
      </c>
      <c r="S165">
        <f>SUM(P165:R165)</f>
        <v>530</v>
      </c>
      <c r="T165">
        <f>_xlfn.RANK.EQ(S165,S$2:S$564, 1)</f>
        <v>163</v>
      </c>
    </row>
    <row r="166" spans="1:20" x14ac:dyDescent="0.35">
      <c r="A166" t="s">
        <v>492</v>
      </c>
      <c r="B166">
        <v>102.51</v>
      </c>
      <c r="C166">
        <v>72.53</v>
      </c>
      <c r="D166">
        <v>72.819999999999993</v>
      </c>
      <c r="E166">
        <v>127.32</v>
      </c>
      <c r="F166">
        <v>11.5</v>
      </c>
      <c r="G166">
        <v>-3</v>
      </c>
      <c r="H166">
        <v>1</v>
      </c>
      <c r="I166">
        <v>5</v>
      </c>
      <c r="J166">
        <v>0</v>
      </c>
      <c r="K166">
        <v>0</v>
      </c>
      <c r="L166">
        <v>2</v>
      </c>
      <c r="M166" s="1">
        <f>C166/$B166-1</f>
        <v>-0.29245927226612045</v>
      </c>
      <c r="N166" s="1">
        <f>D166/$B166-1</f>
        <v>-0.28963027997268564</v>
      </c>
      <c r="O166" s="1">
        <f>E166/$B166-1</f>
        <v>0.24202516827626552</v>
      </c>
      <c r="P166">
        <f>_xlfn.RANK.EQ(M166,M$2:M$564)</f>
        <v>95</v>
      </c>
      <c r="Q166">
        <f>_xlfn.RANK.EQ(N166,N$2:N$564)</f>
        <v>169</v>
      </c>
      <c r="R166">
        <f>_xlfn.RANK.EQ(O166,O$2:O$564)</f>
        <v>266</v>
      </c>
      <c r="S166">
        <f>SUM(P166:R166)</f>
        <v>530</v>
      </c>
      <c r="T166">
        <f>_xlfn.RANK.EQ(S166,S$2:S$564, 1)</f>
        <v>163</v>
      </c>
    </row>
    <row r="167" spans="1:20" x14ac:dyDescent="0.35">
      <c r="A167" t="s">
        <v>177</v>
      </c>
      <c r="B167">
        <v>147.9</v>
      </c>
      <c r="C167">
        <v>79.14</v>
      </c>
      <c r="D167">
        <v>121.48</v>
      </c>
      <c r="E167">
        <v>208.56</v>
      </c>
      <c r="F167">
        <v>8.06</v>
      </c>
      <c r="G167">
        <v>0</v>
      </c>
      <c r="H167">
        <v>2</v>
      </c>
      <c r="I167">
        <v>5</v>
      </c>
      <c r="J167">
        <v>0</v>
      </c>
      <c r="K167">
        <v>2</v>
      </c>
      <c r="L167">
        <v>3</v>
      </c>
      <c r="M167" s="1">
        <f>C167/$B167-1</f>
        <v>-0.46490872210953349</v>
      </c>
      <c r="N167" s="1">
        <f>D167/$B167-1</f>
        <v>-0.17863421230561194</v>
      </c>
      <c r="O167" s="1">
        <f>E167/$B167-1</f>
        <v>0.41014198782961464</v>
      </c>
      <c r="P167">
        <f>_xlfn.RANK.EQ(M167,M$2:M$564)</f>
        <v>159</v>
      </c>
      <c r="Q167">
        <f>_xlfn.RANK.EQ(N167,N$2:N$564)</f>
        <v>136</v>
      </c>
      <c r="R167">
        <f>_xlfn.RANK.EQ(O167,O$2:O$564)</f>
        <v>236</v>
      </c>
      <c r="S167">
        <f>SUM(P167:R167)</f>
        <v>531</v>
      </c>
      <c r="T167">
        <f>_xlfn.RANK.EQ(S167,S$2:S$564, 1)</f>
        <v>166</v>
      </c>
    </row>
    <row r="168" spans="1:20" x14ac:dyDescent="0.35">
      <c r="A168" t="s">
        <v>255</v>
      </c>
      <c r="B168">
        <v>97.45</v>
      </c>
      <c r="C168">
        <v>56.33</v>
      </c>
      <c r="D168">
        <v>70.650000000000006</v>
      </c>
      <c r="E168">
        <v>141.77000000000001</v>
      </c>
      <c r="F168">
        <v>11.09</v>
      </c>
      <c r="G168">
        <v>0</v>
      </c>
      <c r="H168">
        <v>2</v>
      </c>
      <c r="I168">
        <v>5</v>
      </c>
      <c r="J168">
        <v>0</v>
      </c>
      <c r="K168">
        <v>1</v>
      </c>
      <c r="L168">
        <v>2</v>
      </c>
      <c r="M168" s="1">
        <f>C168/$B168-1</f>
        <v>-0.42195997947665476</v>
      </c>
      <c r="N168" s="1">
        <f>D168/$B168-1</f>
        <v>-0.27501282709081576</v>
      </c>
      <c r="O168" s="1">
        <f>E168/$B168-1</f>
        <v>0.45479733196511041</v>
      </c>
      <c r="P168">
        <f>_xlfn.RANK.EQ(M168,M$2:M$564)</f>
        <v>141</v>
      </c>
      <c r="Q168">
        <f>_xlfn.RANK.EQ(N168,N$2:N$564)</f>
        <v>164</v>
      </c>
      <c r="R168">
        <f>_xlfn.RANK.EQ(O168,O$2:O$564)</f>
        <v>227</v>
      </c>
      <c r="S168">
        <f>SUM(P168:R168)</f>
        <v>532</v>
      </c>
      <c r="T168">
        <f>_xlfn.RANK.EQ(S168,S$2:S$564, 1)</f>
        <v>167</v>
      </c>
    </row>
    <row r="169" spans="1:20" x14ac:dyDescent="0.35">
      <c r="A169" t="s">
        <v>334</v>
      </c>
      <c r="B169">
        <v>92.43</v>
      </c>
      <c r="C169">
        <v>62.74</v>
      </c>
      <c r="D169">
        <v>65.19</v>
      </c>
      <c r="E169">
        <v>121.29</v>
      </c>
      <c r="F169">
        <v>11.42</v>
      </c>
      <c r="G169">
        <v>-2</v>
      </c>
      <c r="H169">
        <v>1</v>
      </c>
      <c r="I169">
        <v>5</v>
      </c>
      <c r="J169">
        <v>0</v>
      </c>
      <c r="K169">
        <v>1</v>
      </c>
      <c r="L169">
        <v>2</v>
      </c>
      <c r="M169" s="1">
        <f>C169/$B169-1</f>
        <v>-0.32121605539327058</v>
      </c>
      <c r="N169" s="1">
        <f>D169/$B169-1</f>
        <v>-0.29470950989938338</v>
      </c>
      <c r="O169" s="1">
        <f>E169/$B169-1</f>
        <v>0.31223628691983119</v>
      </c>
      <c r="P169">
        <f>_xlfn.RANK.EQ(M169,M$2:M$564)</f>
        <v>110</v>
      </c>
      <c r="Q169">
        <f>_xlfn.RANK.EQ(N169,N$2:N$564)</f>
        <v>171</v>
      </c>
      <c r="R169">
        <f>_xlfn.RANK.EQ(O169,O$2:O$564)</f>
        <v>255</v>
      </c>
      <c r="S169">
        <f>SUM(P169:R169)</f>
        <v>536</v>
      </c>
      <c r="T169">
        <f>_xlfn.RANK.EQ(S169,S$2:S$564, 1)</f>
        <v>168</v>
      </c>
    </row>
    <row r="170" spans="1:20" x14ac:dyDescent="0.35">
      <c r="A170" t="s">
        <v>121</v>
      </c>
      <c r="B170">
        <v>161.83000000000001</v>
      </c>
      <c r="C170">
        <v>86.55</v>
      </c>
      <c r="D170">
        <v>121.99</v>
      </c>
      <c r="E170">
        <v>237.81</v>
      </c>
      <c r="F170">
        <v>9.86</v>
      </c>
      <c r="G170">
        <v>1</v>
      </c>
      <c r="H170">
        <v>4</v>
      </c>
      <c r="I170">
        <v>7</v>
      </c>
      <c r="J170">
        <v>0</v>
      </c>
      <c r="K170">
        <v>1</v>
      </c>
      <c r="L170">
        <v>2</v>
      </c>
      <c r="M170" s="1">
        <f>C170/$B170-1</f>
        <v>-0.46517950936167585</v>
      </c>
      <c r="N170" s="1">
        <f>D170/$B170-1</f>
        <v>-0.24618426744114208</v>
      </c>
      <c r="O170" s="1">
        <f>E170/$B170-1</f>
        <v>0.46950503614904515</v>
      </c>
      <c r="P170">
        <f>_xlfn.RANK.EQ(M170,M$2:M$564)</f>
        <v>160</v>
      </c>
      <c r="Q170">
        <f>_xlfn.RANK.EQ(N170,N$2:N$564)</f>
        <v>153</v>
      </c>
      <c r="R170">
        <f>_xlfn.RANK.EQ(O170,O$2:O$564)</f>
        <v>223</v>
      </c>
      <c r="S170">
        <f>SUM(P170:R170)</f>
        <v>536</v>
      </c>
      <c r="T170">
        <f>_xlfn.RANK.EQ(S170,S$2:S$564, 1)</f>
        <v>168</v>
      </c>
    </row>
    <row r="171" spans="1:20" x14ac:dyDescent="0.35">
      <c r="A171" t="s">
        <v>119</v>
      </c>
      <c r="B171">
        <v>114.78</v>
      </c>
      <c r="C171">
        <v>83.84</v>
      </c>
      <c r="D171">
        <v>84.17</v>
      </c>
      <c r="E171">
        <v>127.52</v>
      </c>
      <c r="F171">
        <v>12.08</v>
      </c>
      <c r="G171">
        <v>-3</v>
      </c>
      <c r="H171">
        <v>1</v>
      </c>
      <c r="I171">
        <v>5</v>
      </c>
      <c r="J171">
        <v>0</v>
      </c>
      <c r="K171">
        <v>0</v>
      </c>
      <c r="L171">
        <v>2</v>
      </c>
      <c r="M171" s="1">
        <f>C171/$B171-1</f>
        <v>-0.26955915664749952</v>
      </c>
      <c r="N171" s="1">
        <f>D171/$B171-1</f>
        <v>-0.2666840913051054</v>
      </c>
      <c r="O171" s="1">
        <f>E171/$B171-1</f>
        <v>0.11099494685485278</v>
      </c>
      <c r="P171">
        <f>_xlfn.RANK.EQ(M171,M$2:M$564)</f>
        <v>89</v>
      </c>
      <c r="Q171">
        <f>_xlfn.RANK.EQ(N171,N$2:N$564)</f>
        <v>162</v>
      </c>
      <c r="R171">
        <f>_xlfn.RANK.EQ(O171,O$2:O$564)</f>
        <v>294</v>
      </c>
      <c r="S171">
        <f>SUM(P171:R171)</f>
        <v>545</v>
      </c>
      <c r="T171">
        <f>_xlfn.RANK.EQ(S171,S$2:S$564, 1)</f>
        <v>170</v>
      </c>
    </row>
    <row r="172" spans="1:20" x14ac:dyDescent="0.35">
      <c r="A172" t="s">
        <v>200</v>
      </c>
      <c r="B172">
        <v>49.92</v>
      </c>
      <c r="C172">
        <v>31.21</v>
      </c>
      <c r="D172">
        <v>33.04</v>
      </c>
      <c r="E172">
        <v>70.569999999999993</v>
      </c>
      <c r="F172">
        <v>12.25</v>
      </c>
      <c r="G172">
        <v>-1</v>
      </c>
      <c r="H172">
        <v>1</v>
      </c>
      <c r="I172">
        <v>5</v>
      </c>
      <c r="J172">
        <v>0</v>
      </c>
      <c r="K172">
        <v>0</v>
      </c>
      <c r="L172">
        <v>2</v>
      </c>
      <c r="M172" s="1">
        <f>C172/$B172-1</f>
        <v>-0.37479967948717952</v>
      </c>
      <c r="N172" s="1">
        <f>D172/$B172-1</f>
        <v>-0.33814102564102566</v>
      </c>
      <c r="O172" s="1">
        <f>E172/$B172-1</f>
        <v>0.41366185897435881</v>
      </c>
      <c r="P172">
        <f>_xlfn.RANK.EQ(M172,M$2:M$564)</f>
        <v>125</v>
      </c>
      <c r="Q172">
        <f>_xlfn.RANK.EQ(N172,N$2:N$564)</f>
        <v>187</v>
      </c>
      <c r="R172">
        <f>_xlfn.RANK.EQ(O172,O$2:O$564)</f>
        <v>234</v>
      </c>
      <c r="S172">
        <f>SUM(P172:R172)</f>
        <v>546</v>
      </c>
      <c r="T172">
        <f>_xlfn.RANK.EQ(S172,S$2:S$564, 1)</f>
        <v>171</v>
      </c>
    </row>
    <row r="173" spans="1:20" x14ac:dyDescent="0.35">
      <c r="A173" t="s">
        <v>67</v>
      </c>
      <c r="B173">
        <v>112.16</v>
      </c>
      <c r="C173">
        <v>68.489999999999995</v>
      </c>
      <c r="D173">
        <v>77.489999999999995</v>
      </c>
      <c r="E173">
        <v>153.66</v>
      </c>
      <c r="F173">
        <v>11.37</v>
      </c>
      <c r="G173">
        <v>0</v>
      </c>
      <c r="H173">
        <v>1</v>
      </c>
      <c r="I173">
        <v>5</v>
      </c>
      <c r="J173">
        <v>0</v>
      </c>
      <c r="K173">
        <v>0</v>
      </c>
      <c r="L173">
        <v>2</v>
      </c>
      <c r="M173" s="1">
        <f>C173/$B173-1</f>
        <v>-0.38935449358059915</v>
      </c>
      <c r="N173" s="1">
        <f>D173/$B173-1</f>
        <v>-0.30911198288159769</v>
      </c>
      <c r="O173" s="1">
        <f>E173/$B173-1</f>
        <v>0.37000713266761776</v>
      </c>
      <c r="P173">
        <f>_xlfn.RANK.EQ(M173,M$2:M$564)</f>
        <v>131</v>
      </c>
      <c r="Q173">
        <f>_xlfn.RANK.EQ(N173,N$2:N$564)</f>
        <v>175</v>
      </c>
      <c r="R173">
        <f>_xlfn.RANK.EQ(O173,O$2:O$564)</f>
        <v>245</v>
      </c>
      <c r="S173">
        <f>SUM(P173:R173)</f>
        <v>551</v>
      </c>
      <c r="T173">
        <f>_xlfn.RANK.EQ(S173,S$2:S$564, 1)</f>
        <v>172</v>
      </c>
    </row>
    <row r="174" spans="1:20" x14ac:dyDescent="0.35">
      <c r="A174" t="s">
        <v>543</v>
      </c>
      <c r="B174">
        <v>5.37</v>
      </c>
      <c r="C174">
        <v>3.09</v>
      </c>
      <c r="D174">
        <v>3.42</v>
      </c>
      <c r="E174">
        <v>8.2100000000000009</v>
      </c>
      <c r="F174">
        <v>14.26</v>
      </c>
      <c r="G174">
        <v>0</v>
      </c>
      <c r="H174">
        <v>1</v>
      </c>
      <c r="I174">
        <v>5</v>
      </c>
      <c r="J174">
        <v>0</v>
      </c>
      <c r="K174">
        <v>0</v>
      </c>
      <c r="L174">
        <v>2</v>
      </c>
      <c r="M174" s="1">
        <f>C174/$B174-1</f>
        <v>-0.42458100558659218</v>
      </c>
      <c r="N174" s="1">
        <f>D174/$B174-1</f>
        <v>-0.36312849162011174</v>
      </c>
      <c r="O174" s="1">
        <f>E174/$B174-1</f>
        <v>0.52886405959031668</v>
      </c>
      <c r="P174">
        <f>_xlfn.RANK.EQ(M174,M$2:M$564)</f>
        <v>143</v>
      </c>
      <c r="Q174">
        <f>_xlfn.RANK.EQ(N174,N$2:N$564)</f>
        <v>195</v>
      </c>
      <c r="R174">
        <f>_xlfn.RANK.EQ(O174,O$2:O$564)</f>
        <v>214</v>
      </c>
      <c r="S174">
        <f>SUM(P174:R174)</f>
        <v>552</v>
      </c>
      <c r="T174">
        <f>_xlfn.RANK.EQ(S174,S$2:S$564, 1)</f>
        <v>173</v>
      </c>
    </row>
    <row r="175" spans="1:20" x14ac:dyDescent="0.35">
      <c r="A175" t="s">
        <v>172</v>
      </c>
      <c r="B175">
        <v>83.98</v>
      </c>
      <c r="C175">
        <v>48.96</v>
      </c>
      <c r="D175">
        <v>64.819999999999993</v>
      </c>
      <c r="E175">
        <v>100.11</v>
      </c>
      <c r="F175">
        <v>7.88</v>
      </c>
      <c r="G175">
        <v>0</v>
      </c>
      <c r="H175">
        <v>1</v>
      </c>
      <c r="I175">
        <v>5</v>
      </c>
      <c r="J175">
        <v>1</v>
      </c>
      <c r="K175">
        <v>4</v>
      </c>
      <c r="L175">
        <v>7</v>
      </c>
      <c r="M175" s="1">
        <f>C175/$B175-1</f>
        <v>-0.417004048582996</v>
      </c>
      <c r="N175" s="1">
        <f>D175/$B175-1</f>
        <v>-0.22814955941890935</v>
      </c>
      <c r="O175" s="1">
        <f>E175/$B175-1</f>
        <v>0.19206954036675383</v>
      </c>
      <c r="P175">
        <f>_xlfn.RANK.EQ(M175,M$2:M$564)</f>
        <v>138</v>
      </c>
      <c r="Q175">
        <f>_xlfn.RANK.EQ(N175,N$2:N$564)</f>
        <v>149</v>
      </c>
      <c r="R175">
        <f>_xlfn.RANK.EQ(O175,O$2:O$564)</f>
        <v>277</v>
      </c>
      <c r="S175">
        <f>SUM(P175:R175)</f>
        <v>564</v>
      </c>
      <c r="T175">
        <f>_xlfn.RANK.EQ(S175,S$2:S$564, 1)</f>
        <v>174</v>
      </c>
    </row>
    <row r="176" spans="1:20" x14ac:dyDescent="0.35">
      <c r="A176" t="s">
        <v>61</v>
      </c>
      <c r="B176">
        <v>240.8</v>
      </c>
      <c r="C176">
        <v>89.76</v>
      </c>
      <c r="D176">
        <v>180.37</v>
      </c>
      <c r="E176">
        <v>523.46</v>
      </c>
      <c r="F176">
        <v>8.5399999999999991</v>
      </c>
      <c r="G176">
        <v>1</v>
      </c>
      <c r="H176">
        <v>6</v>
      </c>
      <c r="I176">
        <v>11</v>
      </c>
      <c r="J176">
        <v>0</v>
      </c>
      <c r="K176">
        <v>1</v>
      </c>
      <c r="L176">
        <v>2</v>
      </c>
      <c r="M176" s="1">
        <f>C176/$B176-1</f>
        <v>-0.62724252491694354</v>
      </c>
      <c r="N176" s="1">
        <f>D176/$B176-1</f>
        <v>-0.2509551495016612</v>
      </c>
      <c r="O176" s="1">
        <f>E176/$B176-1</f>
        <v>1.1738372093023255</v>
      </c>
      <c r="P176">
        <f>_xlfn.RANK.EQ(M176,M$2:M$564)</f>
        <v>255</v>
      </c>
      <c r="Q176">
        <f>_xlfn.RANK.EQ(N176,N$2:N$564)</f>
        <v>154</v>
      </c>
      <c r="R176">
        <f>_xlfn.RANK.EQ(O176,O$2:O$564)</f>
        <v>156</v>
      </c>
      <c r="S176">
        <f>SUM(P176:R176)</f>
        <v>565</v>
      </c>
      <c r="T176">
        <f>_xlfn.RANK.EQ(S176,S$2:S$564, 1)</f>
        <v>175</v>
      </c>
    </row>
    <row r="177" spans="1:20" x14ac:dyDescent="0.35">
      <c r="A177" t="s">
        <v>462</v>
      </c>
      <c r="B177">
        <v>1271.45</v>
      </c>
      <c r="C177">
        <v>446.02</v>
      </c>
      <c r="D177">
        <v>817.93</v>
      </c>
      <c r="E177">
        <v>3874.8</v>
      </c>
      <c r="F177">
        <v>11.11</v>
      </c>
      <c r="G177">
        <v>2</v>
      </c>
      <c r="H177">
        <v>9</v>
      </c>
      <c r="I177">
        <v>16</v>
      </c>
      <c r="J177">
        <v>0</v>
      </c>
      <c r="K177">
        <v>1</v>
      </c>
      <c r="L177">
        <v>2</v>
      </c>
      <c r="M177" s="1">
        <f>C177/$B177-1</f>
        <v>-0.64920366510676786</v>
      </c>
      <c r="N177" s="1">
        <f>D177/$B177-1</f>
        <v>-0.35669511188013692</v>
      </c>
      <c r="O177" s="1">
        <f>E177/$B177-1</f>
        <v>2.047544142514452</v>
      </c>
      <c r="P177">
        <f>_xlfn.RANK.EQ(M177,M$2:M$564)</f>
        <v>276</v>
      </c>
      <c r="Q177">
        <f>_xlfn.RANK.EQ(N177,N$2:N$564)</f>
        <v>192</v>
      </c>
      <c r="R177">
        <f>_xlfn.RANK.EQ(O177,O$2:O$564)</f>
        <v>98</v>
      </c>
      <c r="S177">
        <f>SUM(P177:R177)</f>
        <v>566</v>
      </c>
      <c r="T177">
        <f>_xlfn.RANK.EQ(S177,S$2:S$564, 1)</f>
        <v>176</v>
      </c>
    </row>
    <row r="178" spans="1:20" x14ac:dyDescent="0.35">
      <c r="A178" t="s">
        <v>387</v>
      </c>
      <c r="B178">
        <v>544.99</v>
      </c>
      <c r="C178">
        <v>236.16</v>
      </c>
      <c r="D178">
        <v>354.85</v>
      </c>
      <c r="E178">
        <v>1059.44</v>
      </c>
      <c r="F178">
        <v>11.12</v>
      </c>
      <c r="G178">
        <v>1</v>
      </c>
      <c r="H178">
        <v>6</v>
      </c>
      <c r="I178">
        <v>10</v>
      </c>
      <c r="J178">
        <v>0</v>
      </c>
      <c r="K178">
        <v>1</v>
      </c>
      <c r="L178">
        <v>2</v>
      </c>
      <c r="M178" s="1">
        <f>C178/$B178-1</f>
        <v>-0.56667094809079066</v>
      </c>
      <c r="N178" s="1">
        <f>D178/$B178-1</f>
        <v>-0.34888713554377138</v>
      </c>
      <c r="O178" s="1">
        <f>E178/$B178-1</f>
        <v>0.94396227453714743</v>
      </c>
      <c r="P178">
        <f>_xlfn.RANK.EQ(M178,M$2:M$564)</f>
        <v>203</v>
      </c>
      <c r="Q178">
        <f>_xlfn.RANK.EQ(N178,N$2:N$564)</f>
        <v>188</v>
      </c>
      <c r="R178">
        <f>_xlfn.RANK.EQ(O178,O$2:O$564)</f>
        <v>175</v>
      </c>
      <c r="S178">
        <f>SUM(P178:R178)</f>
        <v>566</v>
      </c>
      <c r="T178">
        <f>_xlfn.RANK.EQ(S178,S$2:S$564, 1)</f>
        <v>176</v>
      </c>
    </row>
    <row r="179" spans="1:20" x14ac:dyDescent="0.35">
      <c r="A179" t="s">
        <v>62</v>
      </c>
      <c r="B179">
        <v>241.38</v>
      </c>
      <c r="C179">
        <v>89.98</v>
      </c>
      <c r="D179">
        <v>180.8</v>
      </c>
      <c r="E179">
        <v>524.72</v>
      </c>
      <c r="F179">
        <v>8.5399999999999991</v>
      </c>
      <c r="G179">
        <v>1</v>
      </c>
      <c r="H179">
        <v>6</v>
      </c>
      <c r="I179">
        <v>11</v>
      </c>
      <c r="J179">
        <v>0</v>
      </c>
      <c r="K179">
        <v>1</v>
      </c>
      <c r="L179">
        <v>2</v>
      </c>
      <c r="M179" s="1">
        <f>C179/$B179-1</f>
        <v>-0.62722677935205895</v>
      </c>
      <c r="N179" s="1">
        <f>D179/$B179-1</f>
        <v>-0.25097356864694664</v>
      </c>
      <c r="O179" s="1">
        <f>E179/$B179-1</f>
        <v>1.1738337890463173</v>
      </c>
      <c r="P179">
        <f>_xlfn.RANK.EQ(M179,M$2:M$564)</f>
        <v>254</v>
      </c>
      <c r="Q179">
        <f>_xlfn.RANK.EQ(N179,N$2:N$564)</f>
        <v>155</v>
      </c>
      <c r="R179">
        <f>_xlfn.RANK.EQ(O179,O$2:O$564)</f>
        <v>157</v>
      </c>
      <c r="S179">
        <f>SUM(P179:R179)</f>
        <v>566</v>
      </c>
      <c r="T179">
        <f>_xlfn.RANK.EQ(S179,S$2:S$564, 1)</f>
        <v>176</v>
      </c>
    </row>
    <row r="180" spans="1:20" x14ac:dyDescent="0.35">
      <c r="A180" t="s">
        <v>197</v>
      </c>
      <c r="B180">
        <v>130.65</v>
      </c>
      <c r="C180">
        <v>82.93</v>
      </c>
      <c r="D180">
        <v>83.31</v>
      </c>
      <c r="E180">
        <v>171.91</v>
      </c>
      <c r="F180">
        <v>11.89</v>
      </c>
      <c r="G180">
        <v>-3</v>
      </c>
      <c r="H180">
        <v>1</v>
      </c>
      <c r="I180">
        <v>5</v>
      </c>
      <c r="J180">
        <v>0</v>
      </c>
      <c r="K180">
        <v>0</v>
      </c>
      <c r="L180">
        <v>2</v>
      </c>
      <c r="M180" s="1">
        <f>C180/$B180-1</f>
        <v>-0.36525066972828168</v>
      </c>
      <c r="N180" s="1">
        <f>D180/$B180-1</f>
        <v>-0.36234213547646388</v>
      </c>
      <c r="O180" s="1">
        <f>E180/$B180-1</f>
        <v>0.31580558744737841</v>
      </c>
      <c r="P180">
        <f>_xlfn.RANK.EQ(M180,M$2:M$564)</f>
        <v>120</v>
      </c>
      <c r="Q180">
        <f>_xlfn.RANK.EQ(N180,N$2:N$564)</f>
        <v>194</v>
      </c>
      <c r="R180">
        <f>_xlfn.RANK.EQ(O180,O$2:O$564)</f>
        <v>253</v>
      </c>
      <c r="S180">
        <f>SUM(P180:R180)</f>
        <v>567</v>
      </c>
      <c r="T180">
        <f>_xlfn.RANK.EQ(S180,S$2:S$564, 1)</f>
        <v>179</v>
      </c>
    </row>
    <row r="181" spans="1:20" x14ac:dyDescent="0.35">
      <c r="A181" t="s">
        <v>448</v>
      </c>
      <c r="B181">
        <v>326.14999999999998</v>
      </c>
      <c r="C181">
        <v>129.15</v>
      </c>
      <c r="D181">
        <v>208.42</v>
      </c>
      <c r="E181">
        <v>746.85</v>
      </c>
      <c r="F181">
        <v>11.64</v>
      </c>
      <c r="G181">
        <v>1</v>
      </c>
      <c r="H181">
        <v>6</v>
      </c>
      <c r="I181">
        <v>10</v>
      </c>
      <c r="J181">
        <v>0</v>
      </c>
      <c r="K181">
        <v>0</v>
      </c>
      <c r="L181">
        <v>2</v>
      </c>
      <c r="M181" s="1">
        <f>C181/$B181-1</f>
        <v>-0.60401655679901878</v>
      </c>
      <c r="N181" s="1">
        <f>D181/$B181-1</f>
        <v>-0.36096887934999233</v>
      </c>
      <c r="O181" s="1">
        <f>E181/$B181-1</f>
        <v>1.2898972865246057</v>
      </c>
      <c r="P181">
        <f>_xlfn.RANK.EQ(M181,M$2:M$564)</f>
        <v>232</v>
      </c>
      <c r="Q181">
        <f>_xlfn.RANK.EQ(N181,N$2:N$564)</f>
        <v>193</v>
      </c>
      <c r="R181">
        <f>_xlfn.RANK.EQ(O181,O$2:O$564)</f>
        <v>146</v>
      </c>
      <c r="S181">
        <f>SUM(P181:R181)</f>
        <v>571</v>
      </c>
      <c r="T181">
        <f>_xlfn.RANK.EQ(S181,S$2:S$564, 1)</f>
        <v>180</v>
      </c>
    </row>
    <row r="182" spans="1:20" x14ac:dyDescent="0.35">
      <c r="A182" t="s">
        <v>370</v>
      </c>
      <c r="B182">
        <v>17.45</v>
      </c>
      <c r="C182">
        <v>8.1300000000000008</v>
      </c>
      <c r="D182">
        <v>10.96</v>
      </c>
      <c r="E182">
        <v>33.33</v>
      </c>
      <c r="F182">
        <v>12.9</v>
      </c>
      <c r="G182">
        <v>0</v>
      </c>
      <c r="H182">
        <v>2</v>
      </c>
      <c r="I182">
        <v>5</v>
      </c>
      <c r="J182">
        <v>0</v>
      </c>
      <c r="K182">
        <v>0</v>
      </c>
      <c r="L182">
        <v>2</v>
      </c>
      <c r="M182" s="1">
        <f>C182/$B182-1</f>
        <v>-0.53409742120343839</v>
      </c>
      <c r="N182" s="1">
        <f>D182/$B182-1</f>
        <v>-0.37191977077363891</v>
      </c>
      <c r="O182" s="1">
        <f>E182/$B182-1</f>
        <v>0.91002865329512894</v>
      </c>
      <c r="P182">
        <f>_xlfn.RANK.EQ(M182,M$2:M$564)</f>
        <v>190</v>
      </c>
      <c r="Q182">
        <f>_xlfn.RANK.EQ(N182,N$2:N$564)</f>
        <v>203</v>
      </c>
      <c r="R182">
        <f>_xlfn.RANK.EQ(O182,O$2:O$564)</f>
        <v>181</v>
      </c>
      <c r="S182">
        <f>SUM(P182:R182)</f>
        <v>574</v>
      </c>
      <c r="T182">
        <f>_xlfn.RANK.EQ(S182,S$2:S$564, 1)</f>
        <v>181</v>
      </c>
    </row>
    <row r="183" spans="1:20" x14ac:dyDescent="0.35">
      <c r="A183" t="s">
        <v>186</v>
      </c>
      <c r="B183">
        <v>125.04</v>
      </c>
      <c r="C183">
        <v>57.84</v>
      </c>
      <c r="D183">
        <v>80.790000000000006</v>
      </c>
      <c r="E183">
        <v>221.35</v>
      </c>
      <c r="F183">
        <v>11.68</v>
      </c>
      <c r="G183">
        <v>1</v>
      </c>
      <c r="H183">
        <v>4</v>
      </c>
      <c r="I183">
        <v>6</v>
      </c>
      <c r="J183">
        <v>0</v>
      </c>
      <c r="K183">
        <v>1</v>
      </c>
      <c r="L183">
        <v>2</v>
      </c>
      <c r="M183" s="1">
        <f>C183/$B183-1</f>
        <v>-0.5374280230326296</v>
      </c>
      <c r="N183" s="1">
        <f>D183/$B183-1</f>
        <v>-0.35388675623800381</v>
      </c>
      <c r="O183" s="1">
        <f>E183/$B183-1</f>
        <v>0.7702335252719128</v>
      </c>
      <c r="P183">
        <f>_xlfn.RANK.EQ(M183,M$2:M$564)</f>
        <v>191</v>
      </c>
      <c r="Q183">
        <f>_xlfn.RANK.EQ(N183,N$2:N$564)</f>
        <v>190</v>
      </c>
      <c r="R183">
        <f>_xlfn.RANK.EQ(O183,O$2:O$564)</f>
        <v>196</v>
      </c>
      <c r="S183">
        <f>SUM(P183:R183)</f>
        <v>577</v>
      </c>
      <c r="T183">
        <f>_xlfn.RANK.EQ(S183,S$2:S$564, 1)</f>
        <v>182</v>
      </c>
    </row>
    <row r="184" spans="1:20" x14ac:dyDescent="0.35">
      <c r="A184" t="s">
        <v>207</v>
      </c>
      <c r="B184">
        <v>79.680000000000007</v>
      </c>
      <c r="C184">
        <v>26.01</v>
      </c>
      <c r="D184">
        <v>53.59</v>
      </c>
      <c r="E184">
        <v>227.03</v>
      </c>
      <c r="F184">
        <v>5.96</v>
      </c>
      <c r="G184">
        <v>1</v>
      </c>
      <c r="H184">
        <v>6</v>
      </c>
      <c r="I184">
        <v>10</v>
      </c>
      <c r="J184">
        <v>1</v>
      </c>
      <c r="K184">
        <v>5</v>
      </c>
      <c r="L184">
        <v>9</v>
      </c>
      <c r="M184" s="1">
        <f>C184/$B184-1</f>
        <v>-0.67356927710843373</v>
      </c>
      <c r="N184" s="1">
        <f>D184/$B184-1</f>
        <v>-0.32743473895582331</v>
      </c>
      <c r="O184" s="1">
        <f>E184/$B184-1</f>
        <v>1.8492720883534135</v>
      </c>
      <c r="P184">
        <f>_xlfn.RANK.EQ(M184,M$2:M$564)</f>
        <v>289</v>
      </c>
      <c r="Q184">
        <f>_xlfn.RANK.EQ(N184,N$2:N$564)</f>
        <v>182</v>
      </c>
      <c r="R184">
        <f>_xlfn.RANK.EQ(O184,O$2:O$564)</f>
        <v>109</v>
      </c>
      <c r="S184">
        <f>SUM(P184:R184)</f>
        <v>580</v>
      </c>
      <c r="T184">
        <f>_xlfn.RANK.EQ(S184,S$2:S$564, 1)</f>
        <v>183</v>
      </c>
    </row>
    <row r="185" spans="1:20" x14ac:dyDescent="0.35">
      <c r="A185" t="s">
        <v>512</v>
      </c>
      <c r="B185">
        <v>28.75</v>
      </c>
      <c r="C185">
        <v>10</v>
      </c>
      <c r="D185">
        <v>17.22</v>
      </c>
      <c r="E185">
        <v>91.1</v>
      </c>
      <c r="F185">
        <v>13.23</v>
      </c>
      <c r="G185">
        <v>2</v>
      </c>
      <c r="H185">
        <v>7</v>
      </c>
      <c r="I185">
        <v>13</v>
      </c>
      <c r="J185">
        <v>0</v>
      </c>
      <c r="K185">
        <v>0</v>
      </c>
      <c r="L185">
        <v>2</v>
      </c>
      <c r="M185" s="1">
        <f>C185/$B185-1</f>
        <v>-0.65217391304347827</v>
      </c>
      <c r="N185" s="1">
        <f>D185/$B185-1</f>
        <v>-0.40104347826086961</v>
      </c>
      <c r="O185" s="1">
        <f>E185/$B185-1</f>
        <v>2.1686956521739127</v>
      </c>
      <c r="P185">
        <f>_xlfn.RANK.EQ(M185,M$2:M$564)</f>
        <v>278</v>
      </c>
      <c r="Q185">
        <f>_xlfn.RANK.EQ(N185,N$2:N$564)</f>
        <v>218</v>
      </c>
      <c r="R185">
        <f>_xlfn.RANK.EQ(O185,O$2:O$564)</f>
        <v>90</v>
      </c>
      <c r="S185">
        <f>SUM(P185:R185)</f>
        <v>586</v>
      </c>
      <c r="T185">
        <f>_xlfn.RANK.EQ(S185,S$2:S$564, 1)</f>
        <v>184</v>
      </c>
    </row>
    <row r="186" spans="1:20" x14ac:dyDescent="0.35">
      <c r="A186" t="s">
        <v>227</v>
      </c>
      <c r="B186">
        <v>2339.36</v>
      </c>
      <c r="C186">
        <v>536.58000000000004</v>
      </c>
      <c r="D186">
        <v>1692.91</v>
      </c>
      <c r="E186">
        <v>10915.17</v>
      </c>
      <c r="F186">
        <v>7.56</v>
      </c>
      <c r="G186">
        <v>2</v>
      </c>
      <c r="H186">
        <v>10</v>
      </c>
      <c r="I186">
        <v>18</v>
      </c>
      <c r="J186">
        <v>1</v>
      </c>
      <c r="K186">
        <v>3</v>
      </c>
      <c r="L186">
        <v>5</v>
      </c>
      <c r="M186" s="1">
        <f>C186/$B186-1</f>
        <v>-0.77062957390055398</v>
      </c>
      <c r="N186" s="1">
        <f>D186/$B186-1</f>
        <v>-0.27633626290951374</v>
      </c>
      <c r="O186" s="1">
        <f>E186/$B186-1</f>
        <v>3.665878701867177</v>
      </c>
      <c r="P186">
        <f>_xlfn.RANK.EQ(M186,M$2:M$564)</f>
        <v>373</v>
      </c>
      <c r="Q186">
        <f>_xlfn.RANK.EQ(N186,N$2:N$564)</f>
        <v>165</v>
      </c>
      <c r="R186">
        <f>_xlfn.RANK.EQ(O186,O$2:O$564)</f>
        <v>48</v>
      </c>
      <c r="S186">
        <f>SUM(P186:R186)</f>
        <v>586</v>
      </c>
      <c r="T186">
        <f>_xlfn.RANK.EQ(S186,S$2:S$564, 1)</f>
        <v>184</v>
      </c>
    </row>
    <row r="187" spans="1:20" x14ac:dyDescent="0.35">
      <c r="A187" t="s">
        <v>183</v>
      </c>
      <c r="B187">
        <v>81.900000000000006</v>
      </c>
      <c r="C187">
        <v>36.380000000000003</v>
      </c>
      <c r="D187">
        <v>57.59</v>
      </c>
      <c r="E187">
        <v>124.38</v>
      </c>
      <c r="F187">
        <v>7.08</v>
      </c>
      <c r="G187">
        <v>0</v>
      </c>
      <c r="H187">
        <v>1</v>
      </c>
      <c r="I187">
        <v>5</v>
      </c>
      <c r="J187">
        <v>1</v>
      </c>
      <c r="K187">
        <v>3</v>
      </c>
      <c r="L187">
        <v>5</v>
      </c>
      <c r="M187" s="1">
        <f>C187/$B187-1</f>
        <v>-0.55579975579975582</v>
      </c>
      <c r="N187" s="1">
        <f>D187/$B187-1</f>
        <v>-0.29682539682539688</v>
      </c>
      <c r="O187" s="1">
        <f>E187/$B187-1</f>
        <v>0.51868131868131861</v>
      </c>
      <c r="P187">
        <f>_xlfn.RANK.EQ(M187,M$2:M$564)</f>
        <v>199</v>
      </c>
      <c r="Q187">
        <f>_xlfn.RANK.EQ(N187,N$2:N$564)</f>
        <v>172</v>
      </c>
      <c r="R187">
        <f>_xlfn.RANK.EQ(O187,O$2:O$564)</f>
        <v>216</v>
      </c>
      <c r="S187">
        <f>SUM(P187:R187)</f>
        <v>587</v>
      </c>
      <c r="T187">
        <f>_xlfn.RANK.EQ(S187,S$2:S$564, 1)</f>
        <v>186</v>
      </c>
    </row>
    <row r="188" spans="1:20" x14ac:dyDescent="0.35">
      <c r="A188" t="s">
        <v>203</v>
      </c>
      <c r="B188">
        <v>26.65</v>
      </c>
      <c r="C188">
        <v>10.73</v>
      </c>
      <c r="D188">
        <v>16.02</v>
      </c>
      <c r="E188">
        <v>60.06</v>
      </c>
      <c r="F188">
        <v>13.26</v>
      </c>
      <c r="G188">
        <v>1</v>
      </c>
      <c r="H188">
        <v>5</v>
      </c>
      <c r="I188">
        <v>9</v>
      </c>
      <c r="J188">
        <v>0</v>
      </c>
      <c r="K188">
        <v>0</v>
      </c>
      <c r="L188">
        <v>2</v>
      </c>
      <c r="M188" s="1">
        <f>C188/$B188-1</f>
        <v>-0.59737335834896799</v>
      </c>
      <c r="N188" s="1">
        <f>D188/$B188-1</f>
        <v>-0.39887429643527206</v>
      </c>
      <c r="O188" s="1">
        <f>E188/$B188-1</f>
        <v>1.2536585365853661</v>
      </c>
      <c r="P188">
        <f>_xlfn.RANK.EQ(M188,M$2:M$564)</f>
        <v>222</v>
      </c>
      <c r="Q188">
        <f>_xlfn.RANK.EQ(N188,N$2:N$564)</f>
        <v>216</v>
      </c>
      <c r="R188">
        <f>_xlfn.RANK.EQ(O188,O$2:O$564)</f>
        <v>151</v>
      </c>
      <c r="S188">
        <f>SUM(P188:R188)</f>
        <v>589</v>
      </c>
      <c r="T188">
        <f>_xlfn.RANK.EQ(S188,S$2:S$564, 1)</f>
        <v>187</v>
      </c>
    </row>
    <row r="189" spans="1:20" x14ac:dyDescent="0.35">
      <c r="A189" t="s">
        <v>463</v>
      </c>
      <c r="B189">
        <v>16.96</v>
      </c>
      <c r="C189">
        <v>8.9700000000000006</v>
      </c>
      <c r="D189">
        <v>12.44</v>
      </c>
      <c r="E189">
        <v>20.45</v>
      </c>
      <c r="F189">
        <v>8.8000000000000007</v>
      </c>
      <c r="G189">
        <v>0</v>
      </c>
      <c r="H189">
        <v>2</v>
      </c>
      <c r="I189">
        <v>5</v>
      </c>
      <c r="J189">
        <v>0</v>
      </c>
      <c r="K189">
        <v>1</v>
      </c>
      <c r="L189">
        <v>3</v>
      </c>
      <c r="M189" s="1">
        <f>C189/$B189-1</f>
        <v>-0.47110849056603776</v>
      </c>
      <c r="N189" s="1">
        <f>D189/$B189-1</f>
        <v>-0.26650943396226423</v>
      </c>
      <c r="O189" s="1">
        <f>E189/$B189-1</f>
        <v>0.20577830188679225</v>
      </c>
      <c r="P189">
        <f>_xlfn.RANK.EQ(M189,M$2:M$564)</f>
        <v>162</v>
      </c>
      <c r="Q189">
        <f>_xlfn.RANK.EQ(N189,N$2:N$564)</f>
        <v>161</v>
      </c>
      <c r="R189">
        <f>_xlfn.RANK.EQ(O189,O$2:O$564)</f>
        <v>272</v>
      </c>
      <c r="S189">
        <f>SUM(P189:R189)</f>
        <v>595</v>
      </c>
      <c r="T189">
        <f>_xlfn.RANK.EQ(S189,S$2:S$564, 1)</f>
        <v>188</v>
      </c>
    </row>
    <row r="190" spans="1:20" x14ac:dyDescent="0.35">
      <c r="A190" t="s">
        <v>168</v>
      </c>
      <c r="B190">
        <v>75.08</v>
      </c>
      <c r="C190">
        <v>26.55</v>
      </c>
      <c r="D190">
        <v>47.63</v>
      </c>
      <c r="E190">
        <v>189.69</v>
      </c>
      <c r="F190">
        <v>11.42</v>
      </c>
      <c r="G190">
        <v>2</v>
      </c>
      <c r="H190">
        <v>7</v>
      </c>
      <c r="I190">
        <v>13</v>
      </c>
      <c r="J190">
        <v>0</v>
      </c>
      <c r="K190">
        <v>0</v>
      </c>
      <c r="L190">
        <v>2</v>
      </c>
      <c r="M190" s="1">
        <f>C190/$B190-1</f>
        <v>-0.64637719765583368</v>
      </c>
      <c r="N190" s="1">
        <f>D190/$B190-1</f>
        <v>-0.36561001598295151</v>
      </c>
      <c r="O190" s="1">
        <f>E190/$B190-1</f>
        <v>1.5265050612679807</v>
      </c>
      <c r="P190">
        <f>_xlfn.RANK.EQ(M190,M$2:M$564)</f>
        <v>274</v>
      </c>
      <c r="Q190">
        <f>_xlfn.RANK.EQ(N190,N$2:N$564)</f>
        <v>198</v>
      </c>
      <c r="R190">
        <f>_xlfn.RANK.EQ(O190,O$2:O$564)</f>
        <v>126</v>
      </c>
      <c r="S190">
        <f>SUM(P190:R190)</f>
        <v>598</v>
      </c>
      <c r="T190">
        <f>_xlfn.RANK.EQ(S190,S$2:S$564, 1)</f>
        <v>189</v>
      </c>
    </row>
    <row r="191" spans="1:20" x14ac:dyDescent="0.35">
      <c r="A191" t="s">
        <v>271</v>
      </c>
      <c r="B191">
        <v>63.7</v>
      </c>
      <c r="C191">
        <v>14.56</v>
      </c>
      <c r="D191">
        <v>48.04</v>
      </c>
      <c r="E191">
        <v>222.82</v>
      </c>
      <c r="F191">
        <v>8.16</v>
      </c>
      <c r="G191">
        <v>2</v>
      </c>
      <c r="H191">
        <v>9</v>
      </c>
      <c r="I191">
        <v>15</v>
      </c>
      <c r="J191">
        <v>0</v>
      </c>
      <c r="K191">
        <v>2</v>
      </c>
      <c r="L191">
        <v>3</v>
      </c>
      <c r="M191" s="1">
        <f>C191/$B191-1</f>
        <v>-0.77142857142857146</v>
      </c>
      <c r="N191" s="1">
        <f>D191/$B191-1</f>
        <v>-0.24583987441130306</v>
      </c>
      <c r="O191" s="1">
        <f>E191/$B191-1</f>
        <v>2.4979591836734691</v>
      </c>
      <c r="P191">
        <f>_xlfn.RANK.EQ(M191,M$2:M$564)</f>
        <v>374</v>
      </c>
      <c r="Q191">
        <f>_xlfn.RANK.EQ(N191,N$2:N$564)</f>
        <v>152</v>
      </c>
      <c r="R191">
        <f>_xlfn.RANK.EQ(O191,O$2:O$564)</f>
        <v>72</v>
      </c>
      <c r="S191">
        <f>SUM(P191:R191)</f>
        <v>598</v>
      </c>
      <c r="T191">
        <f>_xlfn.RANK.EQ(S191,S$2:S$564, 1)</f>
        <v>189</v>
      </c>
    </row>
    <row r="192" spans="1:20" x14ac:dyDescent="0.35">
      <c r="A192" t="s">
        <v>174</v>
      </c>
      <c r="B192">
        <v>104.4</v>
      </c>
      <c r="C192">
        <v>49.9</v>
      </c>
      <c r="D192">
        <v>64.010000000000005</v>
      </c>
      <c r="E192">
        <v>170.78</v>
      </c>
      <c r="F192">
        <v>12.07</v>
      </c>
      <c r="G192">
        <v>0</v>
      </c>
      <c r="H192">
        <v>2</v>
      </c>
      <c r="I192">
        <v>5</v>
      </c>
      <c r="J192">
        <v>0</v>
      </c>
      <c r="K192">
        <v>1</v>
      </c>
      <c r="L192">
        <v>2</v>
      </c>
      <c r="M192" s="1">
        <f>C192/$B192-1</f>
        <v>-0.52203065134099624</v>
      </c>
      <c r="N192" s="1">
        <f>D192/$B192-1</f>
        <v>-0.38687739463601534</v>
      </c>
      <c r="O192" s="1">
        <f>E192/$B192-1</f>
        <v>0.635823754789272</v>
      </c>
      <c r="P192">
        <f>_xlfn.RANK.EQ(M192,M$2:M$564)</f>
        <v>186</v>
      </c>
      <c r="Q192">
        <f>_xlfn.RANK.EQ(N192,N$2:N$564)</f>
        <v>207</v>
      </c>
      <c r="R192">
        <f>_xlfn.RANK.EQ(O192,O$2:O$564)</f>
        <v>206</v>
      </c>
      <c r="S192">
        <f>SUM(P192:R192)</f>
        <v>599</v>
      </c>
      <c r="T192">
        <f>_xlfn.RANK.EQ(S192,S$2:S$564, 1)</f>
        <v>191</v>
      </c>
    </row>
    <row r="193" spans="1:20" x14ac:dyDescent="0.35">
      <c r="A193" t="s">
        <v>438</v>
      </c>
      <c r="B193">
        <v>62.89</v>
      </c>
      <c r="C193">
        <v>35.35</v>
      </c>
      <c r="D193">
        <v>39.54</v>
      </c>
      <c r="E193">
        <v>79.38</v>
      </c>
      <c r="F193">
        <v>11.97</v>
      </c>
      <c r="G193">
        <v>0</v>
      </c>
      <c r="H193">
        <v>1</v>
      </c>
      <c r="I193">
        <v>5</v>
      </c>
      <c r="J193">
        <v>0</v>
      </c>
      <c r="K193">
        <v>0</v>
      </c>
      <c r="L193">
        <v>2</v>
      </c>
      <c r="M193" s="1">
        <f>C193/$B193-1</f>
        <v>-0.43790745746541582</v>
      </c>
      <c r="N193" s="1">
        <f>D193/$B193-1</f>
        <v>-0.37128319287645095</v>
      </c>
      <c r="O193" s="1">
        <f>E193/$B193-1</f>
        <v>0.26220384798855134</v>
      </c>
      <c r="P193">
        <f>_xlfn.RANK.EQ(M193,M$2:M$564)</f>
        <v>146</v>
      </c>
      <c r="Q193">
        <f>_xlfn.RANK.EQ(N193,N$2:N$564)</f>
        <v>200</v>
      </c>
      <c r="R193">
        <f>_xlfn.RANK.EQ(O193,O$2:O$564)</f>
        <v>259</v>
      </c>
      <c r="S193">
        <f>SUM(P193:R193)</f>
        <v>605</v>
      </c>
      <c r="T193">
        <f>_xlfn.RANK.EQ(S193,S$2:S$564, 1)</f>
        <v>192</v>
      </c>
    </row>
    <row r="194" spans="1:20" x14ac:dyDescent="0.35">
      <c r="A194" t="s">
        <v>184</v>
      </c>
      <c r="B194">
        <v>15.72</v>
      </c>
      <c r="C194">
        <v>8.6300000000000008</v>
      </c>
      <c r="D194">
        <v>9.93</v>
      </c>
      <c r="E194">
        <v>20.6</v>
      </c>
      <c r="F194">
        <v>11.76</v>
      </c>
      <c r="G194">
        <v>0</v>
      </c>
      <c r="H194">
        <v>1</v>
      </c>
      <c r="I194">
        <v>5</v>
      </c>
      <c r="J194">
        <v>0</v>
      </c>
      <c r="K194">
        <v>0</v>
      </c>
      <c r="L194">
        <v>2</v>
      </c>
      <c r="M194" s="1">
        <f>C194/$B194-1</f>
        <v>-0.45101781170483457</v>
      </c>
      <c r="N194" s="1">
        <f>D194/$B194-1</f>
        <v>-0.36832061068702293</v>
      </c>
      <c r="O194" s="1">
        <f>E194/$B194-1</f>
        <v>0.31043256997455471</v>
      </c>
      <c r="P194">
        <f>_xlfn.RANK.EQ(M194,M$2:M$564)</f>
        <v>152</v>
      </c>
      <c r="Q194">
        <f>_xlfn.RANK.EQ(N194,N$2:N$564)</f>
        <v>199</v>
      </c>
      <c r="R194">
        <f>_xlfn.RANK.EQ(O194,O$2:O$564)</f>
        <v>256</v>
      </c>
      <c r="S194">
        <f>SUM(P194:R194)</f>
        <v>607</v>
      </c>
      <c r="T194">
        <f>_xlfn.RANK.EQ(S194,S$2:S$564, 1)</f>
        <v>193</v>
      </c>
    </row>
    <row r="195" spans="1:20" x14ac:dyDescent="0.35">
      <c r="A195" t="s">
        <v>100</v>
      </c>
      <c r="B195">
        <v>1123.4100000000001</v>
      </c>
      <c r="C195">
        <v>447.89</v>
      </c>
      <c r="D195">
        <v>706.26</v>
      </c>
      <c r="E195">
        <v>2156.19</v>
      </c>
      <c r="F195">
        <v>10.88</v>
      </c>
      <c r="G195">
        <v>1</v>
      </c>
      <c r="H195">
        <v>6</v>
      </c>
      <c r="I195">
        <v>11</v>
      </c>
      <c r="J195">
        <v>0</v>
      </c>
      <c r="K195">
        <v>0</v>
      </c>
      <c r="L195">
        <v>2</v>
      </c>
      <c r="M195" s="1">
        <f>C195/$B195-1</f>
        <v>-0.60131207662385067</v>
      </c>
      <c r="N195" s="1">
        <f>D195/$B195-1</f>
        <v>-0.37132480572542537</v>
      </c>
      <c r="O195" s="1">
        <f>E195/$B195-1</f>
        <v>0.91932598071941674</v>
      </c>
      <c r="P195">
        <f>_xlfn.RANK.EQ(M195,M$2:M$564)</f>
        <v>230</v>
      </c>
      <c r="Q195">
        <f>_xlfn.RANK.EQ(N195,N$2:N$564)</f>
        <v>201</v>
      </c>
      <c r="R195">
        <f>_xlfn.RANK.EQ(O195,O$2:O$564)</f>
        <v>179</v>
      </c>
      <c r="S195">
        <f>SUM(P195:R195)</f>
        <v>610</v>
      </c>
      <c r="T195">
        <f>_xlfn.RANK.EQ(S195,S$2:S$564, 1)</f>
        <v>194</v>
      </c>
    </row>
    <row r="196" spans="1:20" x14ac:dyDescent="0.35">
      <c r="A196" t="s">
        <v>164</v>
      </c>
      <c r="B196">
        <v>135.97999999999999</v>
      </c>
      <c r="C196">
        <v>49.95</v>
      </c>
      <c r="D196">
        <v>93.55</v>
      </c>
      <c r="E196">
        <v>271.69</v>
      </c>
      <c r="F196">
        <v>9.6300000000000008</v>
      </c>
      <c r="G196">
        <v>1</v>
      </c>
      <c r="H196">
        <v>6</v>
      </c>
      <c r="I196">
        <v>10</v>
      </c>
      <c r="J196">
        <v>0</v>
      </c>
      <c r="K196">
        <v>1</v>
      </c>
      <c r="L196">
        <v>2</v>
      </c>
      <c r="M196" s="1">
        <f>C196/$B196-1</f>
        <v>-0.63266656861303128</v>
      </c>
      <c r="N196" s="1">
        <f>D196/$B196-1</f>
        <v>-0.31203118105603767</v>
      </c>
      <c r="O196" s="1">
        <f>E196/$B196-1</f>
        <v>0.99801441388439494</v>
      </c>
      <c r="P196">
        <f>_xlfn.RANK.EQ(M196,M$2:M$564)</f>
        <v>261</v>
      </c>
      <c r="Q196">
        <f>_xlfn.RANK.EQ(N196,N$2:N$564)</f>
        <v>177</v>
      </c>
      <c r="R196">
        <f>_xlfn.RANK.EQ(O196,O$2:O$564)</f>
        <v>173</v>
      </c>
      <c r="S196">
        <f>SUM(P196:R196)</f>
        <v>611</v>
      </c>
      <c r="T196">
        <f>_xlfn.RANK.EQ(S196,S$2:S$564, 1)</f>
        <v>195</v>
      </c>
    </row>
    <row r="197" spans="1:20" x14ac:dyDescent="0.35">
      <c r="A197" t="s">
        <v>42</v>
      </c>
      <c r="B197">
        <v>32.67</v>
      </c>
      <c r="C197">
        <v>13.07</v>
      </c>
      <c r="D197">
        <v>21.95</v>
      </c>
      <c r="E197">
        <v>54.13</v>
      </c>
      <c r="F197">
        <v>9.15</v>
      </c>
      <c r="G197">
        <v>1</v>
      </c>
      <c r="H197">
        <v>5</v>
      </c>
      <c r="I197">
        <v>10</v>
      </c>
      <c r="J197">
        <v>0</v>
      </c>
      <c r="K197">
        <v>2</v>
      </c>
      <c r="L197">
        <v>4</v>
      </c>
      <c r="M197" s="1">
        <f>C197/$B197-1</f>
        <v>-0.59993878175696358</v>
      </c>
      <c r="N197" s="1">
        <f>D197/$B197-1</f>
        <v>-0.32812978267523729</v>
      </c>
      <c r="O197" s="1">
        <f>E197/$B197-1</f>
        <v>0.65687174778083879</v>
      </c>
      <c r="P197">
        <f>_xlfn.RANK.EQ(M197,M$2:M$564)</f>
        <v>228</v>
      </c>
      <c r="Q197">
        <f>_xlfn.RANK.EQ(N197,N$2:N$564)</f>
        <v>183</v>
      </c>
      <c r="R197">
        <f>_xlfn.RANK.EQ(O197,O$2:O$564)</f>
        <v>203</v>
      </c>
      <c r="S197">
        <f>SUM(P197:R197)</f>
        <v>614</v>
      </c>
      <c r="T197">
        <f>_xlfn.RANK.EQ(S197,S$2:S$564, 1)</f>
        <v>196</v>
      </c>
    </row>
    <row r="198" spans="1:20" x14ac:dyDescent="0.35">
      <c r="A198" t="s">
        <v>193</v>
      </c>
      <c r="B198">
        <v>16.07</v>
      </c>
      <c r="C198">
        <v>3.56</v>
      </c>
      <c r="D198">
        <v>10.86</v>
      </c>
      <c r="E198">
        <v>67.67</v>
      </c>
      <c r="F198">
        <v>7.46</v>
      </c>
      <c r="G198">
        <v>2</v>
      </c>
      <c r="H198">
        <v>10</v>
      </c>
      <c r="I198">
        <v>18</v>
      </c>
      <c r="J198">
        <v>0</v>
      </c>
      <c r="K198">
        <v>2</v>
      </c>
      <c r="L198">
        <v>4</v>
      </c>
      <c r="M198" s="1">
        <f>C198/$B198-1</f>
        <v>-0.77846919726197883</v>
      </c>
      <c r="N198" s="1">
        <f>D198/$B198-1</f>
        <v>-0.3242065961418793</v>
      </c>
      <c r="O198" s="1">
        <f>E198/$B198-1</f>
        <v>3.2109520846297448</v>
      </c>
      <c r="P198">
        <f>_xlfn.RANK.EQ(M198,M$2:M$564)</f>
        <v>380</v>
      </c>
      <c r="Q198">
        <f>_xlfn.RANK.EQ(N198,N$2:N$564)</f>
        <v>181</v>
      </c>
      <c r="R198">
        <f>_xlfn.RANK.EQ(O198,O$2:O$564)</f>
        <v>55</v>
      </c>
      <c r="S198">
        <f>SUM(P198:R198)</f>
        <v>616</v>
      </c>
      <c r="T198">
        <f>_xlfn.RANK.EQ(S198,S$2:S$564, 1)</f>
        <v>197</v>
      </c>
    </row>
    <row r="199" spans="1:20" x14ac:dyDescent="0.35">
      <c r="A199" t="s">
        <v>388</v>
      </c>
      <c r="B199">
        <v>88.13</v>
      </c>
      <c r="C199">
        <v>52.58</v>
      </c>
      <c r="D199">
        <v>53.6</v>
      </c>
      <c r="E199">
        <v>105.73</v>
      </c>
      <c r="F199">
        <v>12.76</v>
      </c>
      <c r="G199">
        <v>-3</v>
      </c>
      <c r="H199">
        <v>1</v>
      </c>
      <c r="I199">
        <v>5</v>
      </c>
      <c r="J199">
        <v>0</v>
      </c>
      <c r="K199">
        <v>0</v>
      </c>
      <c r="L199">
        <v>2</v>
      </c>
      <c r="M199" s="1">
        <f>C199/$B199-1</f>
        <v>-0.40338136843299666</v>
      </c>
      <c r="N199" s="1">
        <f>D199/$B199-1</f>
        <v>-0.39180755701804149</v>
      </c>
      <c r="O199" s="1">
        <f>E199/$B199-1</f>
        <v>0.19970498127765812</v>
      </c>
      <c r="P199">
        <f>_xlfn.RANK.EQ(M199,M$2:M$564)</f>
        <v>133</v>
      </c>
      <c r="Q199">
        <f>_xlfn.RANK.EQ(N199,N$2:N$564)</f>
        <v>210</v>
      </c>
      <c r="R199">
        <f>_xlfn.RANK.EQ(O199,O$2:O$564)</f>
        <v>274</v>
      </c>
      <c r="S199">
        <f>SUM(P199:R199)</f>
        <v>617</v>
      </c>
      <c r="T199">
        <f>_xlfn.RANK.EQ(S199,S$2:S$564, 1)</f>
        <v>198</v>
      </c>
    </row>
    <row r="200" spans="1:20" x14ac:dyDescent="0.35">
      <c r="A200" t="s">
        <v>148</v>
      </c>
      <c r="B200">
        <v>31.51</v>
      </c>
      <c r="C200">
        <v>10.27</v>
      </c>
      <c r="D200">
        <v>17.79</v>
      </c>
      <c r="E200">
        <v>89.91</v>
      </c>
      <c r="F200">
        <v>12.73</v>
      </c>
      <c r="G200">
        <v>2</v>
      </c>
      <c r="H200">
        <v>7</v>
      </c>
      <c r="I200">
        <v>13</v>
      </c>
      <c r="J200">
        <v>0</v>
      </c>
      <c r="K200">
        <v>0</v>
      </c>
      <c r="L200">
        <v>2</v>
      </c>
      <c r="M200" s="1">
        <f>C200/$B200-1</f>
        <v>-0.67407172326245646</v>
      </c>
      <c r="N200" s="1">
        <f>D200/$B200-1</f>
        <v>-0.43541732783243425</v>
      </c>
      <c r="O200" s="1">
        <f>E200/$B200-1</f>
        <v>1.8533798794033638</v>
      </c>
      <c r="P200">
        <f>_xlfn.RANK.EQ(M200,M$2:M$564)</f>
        <v>290</v>
      </c>
      <c r="Q200">
        <f>_xlfn.RANK.EQ(N200,N$2:N$564)</f>
        <v>226</v>
      </c>
      <c r="R200">
        <f>_xlfn.RANK.EQ(O200,O$2:O$564)</f>
        <v>108</v>
      </c>
      <c r="S200">
        <f>SUM(P200:R200)</f>
        <v>624</v>
      </c>
      <c r="T200">
        <f>_xlfn.RANK.EQ(S200,S$2:S$564, 1)</f>
        <v>199</v>
      </c>
    </row>
    <row r="201" spans="1:20" x14ac:dyDescent="0.35">
      <c r="A201" t="s">
        <v>520</v>
      </c>
      <c r="B201">
        <v>604.78</v>
      </c>
      <c r="C201">
        <v>125.72</v>
      </c>
      <c r="D201">
        <v>390.63</v>
      </c>
      <c r="E201">
        <v>3266.51</v>
      </c>
      <c r="F201">
        <v>6.22</v>
      </c>
      <c r="G201">
        <v>2</v>
      </c>
      <c r="H201">
        <v>10</v>
      </c>
      <c r="I201">
        <v>18</v>
      </c>
      <c r="J201">
        <v>0</v>
      </c>
      <c r="K201">
        <v>2</v>
      </c>
      <c r="L201">
        <v>3</v>
      </c>
      <c r="M201" s="1">
        <f>C201/$B201-1</f>
        <v>-0.7921227553821224</v>
      </c>
      <c r="N201" s="1">
        <f>D201/$B201-1</f>
        <v>-0.35409570422302328</v>
      </c>
      <c r="O201" s="1">
        <f>E201/$B201-1</f>
        <v>4.4011541386950634</v>
      </c>
      <c r="P201">
        <f>_xlfn.RANK.EQ(M201,M$2:M$564)</f>
        <v>393</v>
      </c>
      <c r="Q201">
        <f>_xlfn.RANK.EQ(N201,N$2:N$564)</f>
        <v>191</v>
      </c>
      <c r="R201">
        <f>_xlfn.RANK.EQ(O201,O$2:O$564)</f>
        <v>40</v>
      </c>
      <c r="S201">
        <f>SUM(P201:R201)</f>
        <v>624</v>
      </c>
      <c r="T201">
        <f>_xlfn.RANK.EQ(S201,S$2:S$564, 1)</f>
        <v>199</v>
      </c>
    </row>
    <row r="202" spans="1:20" x14ac:dyDescent="0.35">
      <c r="A202" t="s">
        <v>155</v>
      </c>
      <c r="B202">
        <v>185.01</v>
      </c>
      <c r="C202">
        <v>106.1</v>
      </c>
      <c r="D202">
        <v>119.55</v>
      </c>
      <c r="E202">
        <v>208.78</v>
      </c>
      <c r="F202">
        <v>10.66</v>
      </c>
      <c r="G202">
        <v>0</v>
      </c>
      <c r="H202">
        <v>1</v>
      </c>
      <c r="I202">
        <v>5</v>
      </c>
      <c r="J202">
        <v>0</v>
      </c>
      <c r="K202">
        <v>1</v>
      </c>
      <c r="L202">
        <v>2</v>
      </c>
      <c r="M202" s="1">
        <f>C202/$B202-1</f>
        <v>-0.42651748554132207</v>
      </c>
      <c r="N202" s="1">
        <f>D202/$B202-1</f>
        <v>-0.3538187125020269</v>
      </c>
      <c r="O202" s="1">
        <f>E202/$B202-1</f>
        <v>0.12847954164639752</v>
      </c>
      <c r="P202">
        <f>_xlfn.RANK.EQ(M202,M$2:M$564)</f>
        <v>144</v>
      </c>
      <c r="Q202">
        <f>_xlfn.RANK.EQ(N202,N$2:N$564)</f>
        <v>189</v>
      </c>
      <c r="R202">
        <f>_xlfn.RANK.EQ(O202,O$2:O$564)</f>
        <v>291</v>
      </c>
      <c r="S202">
        <f>SUM(P202:R202)</f>
        <v>624</v>
      </c>
      <c r="T202">
        <f>_xlfn.RANK.EQ(S202,S$2:S$564, 1)</f>
        <v>199</v>
      </c>
    </row>
    <row r="203" spans="1:20" x14ac:dyDescent="0.35">
      <c r="A203" t="s">
        <v>228</v>
      </c>
      <c r="B203">
        <v>61.98</v>
      </c>
      <c r="C203">
        <v>33.5</v>
      </c>
      <c r="D203">
        <v>37.630000000000003</v>
      </c>
      <c r="E203">
        <v>75.89</v>
      </c>
      <c r="F203">
        <v>11.84</v>
      </c>
      <c r="G203">
        <v>0</v>
      </c>
      <c r="H203">
        <v>1</v>
      </c>
      <c r="I203">
        <v>5</v>
      </c>
      <c r="J203">
        <v>0</v>
      </c>
      <c r="K203">
        <v>0</v>
      </c>
      <c r="L203">
        <v>2</v>
      </c>
      <c r="M203" s="1">
        <f>C203/$B203-1</f>
        <v>-0.45950306550500164</v>
      </c>
      <c r="N203" s="1">
        <f>D203/$B203-1</f>
        <v>-0.39286866731203607</v>
      </c>
      <c r="O203" s="1">
        <f>E203/$B203-1</f>
        <v>0.22442723459180391</v>
      </c>
      <c r="P203">
        <f>_xlfn.RANK.EQ(M203,M$2:M$564)</f>
        <v>156</v>
      </c>
      <c r="Q203">
        <f>_xlfn.RANK.EQ(N203,N$2:N$564)</f>
        <v>211</v>
      </c>
      <c r="R203">
        <f>_xlfn.RANK.EQ(O203,O$2:O$564)</f>
        <v>269</v>
      </c>
      <c r="S203">
        <f>SUM(P203:R203)</f>
        <v>636</v>
      </c>
      <c r="T203">
        <f>_xlfn.RANK.EQ(S203,S$2:S$564, 1)</f>
        <v>202</v>
      </c>
    </row>
    <row r="204" spans="1:20" x14ac:dyDescent="0.35">
      <c r="A204" t="s">
        <v>516</v>
      </c>
      <c r="B204">
        <v>81.290000000000006</v>
      </c>
      <c r="C204">
        <v>36.97</v>
      </c>
      <c r="D204">
        <v>45.3</v>
      </c>
      <c r="E204">
        <v>126</v>
      </c>
      <c r="F204">
        <v>12.25</v>
      </c>
      <c r="G204">
        <v>0</v>
      </c>
      <c r="H204">
        <v>1</v>
      </c>
      <c r="I204">
        <v>5</v>
      </c>
      <c r="J204">
        <v>0</v>
      </c>
      <c r="K204">
        <v>0</v>
      </c>
      <c r="L204">
        <v>2</v>
      </c>
      <c r="M204" s="1">
        <f>C204/$B204-1</f>
        <v>-0.54520851273219351</v>
      </c>
      <c r="N204" s="1">
        <f>D204/$B204-1</f>
        <v>-0.44273588387255514</v>
      </c>
      <c r="O204" s="1">
        <f>E204/$B204-1</f>
        <v>0.5500061508180587</v>
      </c>
      <c r="P204">
        <f>_xlfn.RANK.EQ(M204,M$2:M$564)</f>
        <v>193</v>
      </c>
      <c r="Q204">
        <f>_xlfn.RANK.EQ(N204,N$2:N$564)</f>
        <v>232</v>
      </c>
      <c r="R204">
        <f>_xlfn.RANK.EQ(O204,O$2:O$564)</f>
        <v>212</v>
      </c>
      <c r="S204">
        <f>SUM(P204:R204)</f>
        <v>637</v>
      </c>
      <c r="T204">
        <f>_xlfn.RANK.EQ(S204,S$2:S$564, 1)</f>
        <v>203</v>
      </c>
    </row>
    <row r="205" spans="1:20" x14ac:dyDescent="0.35">
      <c r="A205" t="s">
        <v>56</v>
      </c>
      <c r="B205">
        <v>509.9</v>
      </c>
      <c r="C205">
        <v>163.52000000000001</v>
      </c>
      <c r="D205">
        <v>348.08</v>
      </c>
      <c r="E205">
        <v>1089.54</v>
      </c>
      <c r="F205">
        <v>8.3800000000000008</v>
      </c>
      <c r="G205">
        <v>1</v>
      </c>
      <c r="H205">
        <v>7</v>
      </c>
      <c r="I205">
        <v>12</v>
      </c>
      <c r="J205">
        <v>0</v>
      </c>
      <c r="K205">
        <v>1</v>
      </c>
      <c r="L205">
        <v>2</v>
      </c>
      <c r="M205" s="1">
        <f>C205/$B205-1</f>
        <v>-0.67930966856246322</v>
      </c>
      <c r="N205" s="1">
        <f>D205/$B205-1</f>
        <v>-0.31735634438125127</v>
      </c>
      <c r="O205" s="1">
        <f>E205/$B205-1</f>
        <v>1.1367719160619729</v>
      </c>
      <c r="P205">
        <f>_xlfn.RANK.EQ(M205,M$2:M$564)</f>
        <v>299</v>
      </c>
      <c r="Q205">
        <f>_xlfn.RANK.EQ(N205,N$2:N$564)</f>
        <v>180</v>
      </c>
      <c r="R205">
        <f>_xlfn.RANK.EQ(O205,O$2:O$564)</f>
        <v>160</v>
      </c>
      <c r="S205">
        <f>SUM(P205:R205)</f>
        <v>639</v>
      </c>
      <c r="T205">
        <f>_xlfn.RANK.EQ(S205,S$2:S$564, 1)</f>
        <v>204</v>
      </c>
    </row>
    <row r="206" spans="1:20" x14ac:dyDescent="0.35">
      <c r="A206" t="s">
        <v>563</v>
      </c>
      <c r="B206">
        <v>5.13</v>
      </c>
      <c r="C206">
        <v>2.6</v>
      </c>
      <c r="D206">
        <v>2.73</v>
      </c>
      <c r="E206">
        <v>7.55</v>
      </c>
      <c r="F206">
        <v>13.76</v>
      </c>
      <c r="G206">
        <v>-2</v>
      </c>
      <c r="H206">
        <v>1</v>
      </c>
      <c r="I206">
        <v>5</v>
      </c>
      <c r="J206">
        <v>0</v>
      </c>
      <c r="K206">
        <v>0</v>
      </c>
      <c r="L206">
        <v>2</v>
      </c>
      <c r="M206" s="1">
        <f>C206/$B206-1</f>
        <v>-0.49317738791422994</v>
      </c>
      <c r="N206" s="1">
        <f>D206/$B206-1</f>
        <v>-0.46783625730994149</v>
      </c>
      <c r="O206" s="1">
        <f>E206/$B206-1</f>
        <v>0.47173489278752445</v>
      </c>
      <c r="P206">
        <f>_xlfn.RANK.EQ(M206,M$2:M$564)</f>
        <v>171</v>
      </c>
      <c r="Q206">
        <f>_xlfn.RANK.EQ(N206,N$2:N$564)</f>
        <v>249</v>
      </c>
      <c r="R206">
        <f>_xlfn.RANK.EQ(O206,O$2:O$564)</f>
        <v>222</v>
      </c>
      <c r="S206">
        <f>SUM(P206:R206)</f>
        <v>642</v>
      </c>
      <c r="T206">
        <f>_xlfn.RANK.EQ(S206,S$2:S$564, 1)</f>
        <v>205</v>
      </c>
    </row>
    <row r="207" spans="1:20" x14ac:dyDescent="0.35">
      <c r="A207" t="s">
        <v>43</v>
      </c>
      <c r="B207">
        <v>28.2</v>
      </c>
      <c r="C207">
        <v>8.66</v>
      </c>
      <c r="D207">
        <v>16.690000000000001</v>
      </c>
      <c r="E207">
        <v>75.599999999999994</v>
      </c>
      <c r="F207">
        <v>10.94</v>
      </c>
      <c r="G207">
        <v>2</v>
      </c>
      <c r="H207">
        <v>9</v>
      </c>
      <c r="I207">
        <v>15</v>
      </c>
      <c r="J207">
        <v>0</v>
      </c>
      <c r="K207">
        <v>1</v>
      </c>
      <c r="L207">
        <v>2</v>
      </c>
      <c r="M207" s="1">
        <f>C207/$B207-1</f>
        <v>-0.69290780141843977</v>
      </c>
      <c r="N207" s="1">
        <f>D207/$B207-1</f>
        <v>-0.40815602836879428</v>
      </c>
      <c r="O207" s="1">
        <f>E207/$B207-1</f>
        <v>1.6808510638297869</v>
      </c>
      <c r="P207">
        <f>_xlfn.RANK.EQ(M207,M$2:M$564)</f>
        <v>311</v>
      </c>
      <c r="Q207">
        <f>_xlfn.RANK.EQ(N207,N$2:N$564)</f>
        <v>219</v>
      </c>
      <c r="R207">
        <f>_xlfn.RANK.EQ(O207,O$2:O$564)</f>
        <v>117</v>
      </c>
      <c r="S207">
        <f>SUM(P207:R207)</f>
        <v>647</v>
      </c>
      <c r="T207">
        <f>_xlfn.RANK.EQ(S207,S$2:S$564, 1)</f>
        <v>206</v>
      </c>
    </row>
    <row r="208" spans="1:20" x14ac:dyDescent="0.35">
      <c r="A208" t="s">
        <v>310</v>
      </c>
      <c r="B208">
        <v>134.32</v>
      </c>
      <c r="C208">
        <v>61.94</v>
      </c>
      <c r="D208">
        <v>81.84</v>
      </c>
      <c r="E208">
        <v>182.83</v>
      </c>
      <c r="F208">
        <v>11.78</v>
      </c>
      <c r="G208">
        <v>1</v>
      </c>
      <c r="H208">
        <v>3</v>
      </c>
      <c r="I208">
        <v>6</v>
      </c>
      <c r="J208">
        <v>0</v>
      </c>
      <c r="K208">
        <v>0</v>
      </c>
      <c r="L208">
        <v>2</v>
      </c>
      <c r="M208" s="1">
        <f>C208/$B208-1</f>
        <v>-0.53886241810601554</v>
      </c>
      <c r="N208" s="1">
        <f>D208/$B208-1</f>
        <v>-0.39070875521143533</v>
      </c>
      <c r="O208" s="1">
        <f>E208/$B208-1</f>
        <v>0.36115247170935105</v>
      </c>
      <c r="P208">
        <f>_xlfn.RANK.EQ(M208,M$2:M$564)</f>
        <v>192</v>
      </c>
      <c r="Q208">
        <f>_xlfn.RANK.EQ(N208,N$2:N$564)</f>
        <v>208</v>
      </c>
      <c r="R208">
        <f>_xlfn.RANK.EQ(O208,O$2:O$564)</f>
        <v>247</v>
      </c>
      <c r="S208">
        <f>SUM(P208:R208)</f>
        <v>647</v>
      </c>
      <c r="T208">
        <f>_xlfn.RANK.EQ(S208,S$2:S$564, 1)</f>
        <v>206</v>
      </c>
    </row>
    <row r="209" spans="1:20" x14ac:dyDescent="0.35">
      <c r="A209" t="s">
        <v>104</v>
      </c>
      <c r="B209">
        <v>167.8</v>
      </c>
      <c r="C209">
        <v>90.22</v>
      </c>
      <c r="D209">
        <v>112.35</v>
      </c>
      <c r="E209">
        <v>177.5</v>
      </c>
      <c r="F209">
        <v>9.2100000000000009</v>
      </c>
      <c r="G209">
        <v>0</v>
      </c>
      <c r="H209">
        <v>1</v>
      </c>
      <c r="I209">
        <v>5</v>
      </c>
      <c r="J209">
        <v>0</v>
      </c>
      <c r="K209">
        <v>1</v>
      </c>
      <c r="L209">
        <v>2</v>
      </c>
      <c r="M209" s="1">
        <f>C209/$B209-1</f>
        <v>-0.4623361144219309</v>
      </c>
      <c r="N209" s="1">
        <f>D209/$B209-1</f>
        <v>-0.33045292014302752</v>
      </c>
      <c r="O209" s="1">
        <f>E209/$B209-1</f>
        <v>5.7806912991656745E-2</v>
      </c>
      <c r="P209">
        <f>_xlfn.RANK.EQ(M209,M$2:M$564)</f>
        <v>158</v>
      </c>
      <c r="Q209">
        <f>_xlfn.RANK.EQ(N209,N$2:N$564)</f>
        <v>185</v>
      </c>
      <c r="R209">
        <f>_xlfn.RANK.EQ(O209,O$2:O$564)</f>
        <v>304</v>
      </c>
      <c r="S209">
        <f>SUM(P209:R209)</f>
        <v>647</v>
      </c>
      <c r="T209">
        <f>_xlfn.RANK.EQ(S209,S$2:S$564, 1)</f>
        <v>206</v>
      </c>
    </row>
    <row r="210" spans="1:20" x14ac:dyDescent="0.35">
      <c r="A210" t="s">
        <v>396</v>
      </c>
      <c r="B210">
        <v>31.66</v>
      </c>
      <c r="C210">
        <v>17.829999999999998</v>
      </c>
      <c r="D210">
        <v>19.079999999999998</v>
      </c>
      <c r="E210">
        <v>35.75</v>
      </c>
      <c r="F210">
        <v>14.43</v>
      </c>
      <c r="G210">
        <v>1</v>
      </c>
      <c r="H210">
        <v>3</v>
      </c>
      <c r="I210">
        <v>5</v>
      </c>
      <c r="J210">
        <v>0</v>
      </c>
      <c r="K210">
        <v>0</v>
      </c>
      <c r="L210">
        <v>2</v>
      </c>
      <c r="M210" s="1">
        <f>C210/$B210-1</f>
        <v>-0.43682880606443464</v>
      </c>
      <c r="N210" s="1">
        <f>D210/$B210-1</f>
        <v>-0.39734680985470627</v>
      </c>
      <c r="O210" s="1">
        <f>E210/$B210-1</f>
        <v>0.12918509159823111</v>
      </c>
      <c r="P210">
        <f>_xlfn.RANK.EQ(M210,M$2:M$564)</f>
        <v>145</v>
      </c>
      <c r="Q210">
        <f>_xlfn.RANK.EQ(N210,N$2:N$564)</f>
        <v>215</v>
      </c>
      <c r="R210">
        <f>_xlfn.RANK.EQ(O210,O$2:O$564)</f>
        <v>290</v>
      </c>
      <c r="S210">
        <f>SUM(P210:R210)</f>
        <v>650</v>
      </c>
      <c r="T210">
        <f>_xlfn.RANK.EQ(S210,S$2:S$564, 1)</f>
        <v>209</v>
      </c>
    </row>
    <row r="211" spans="1:20" x14ac:dyDescent="0.35">
      <c r="A211" t="s">
        <v>113</v>
      </c>
      <c r="B211">
        <v>83.28</v>
      </c>
      <c r="C211">
        <v>42.2</v>
      </c>
      <c r="D211">
        <v>55.44</v>
      </c>
      <c r="E211">
        <v>92.65</v>
      </c>
      <c r="F211">
        <v>9.2899999999999991</v>
      </c>
      <c r="G211">
        <v>0</v>
      </c>
      <c r="H211">
        <v>1</v>
      </c>
      <c r="I211">
        <v>5</v>
      </c>
      <c r="J211">
        <v>0</v>
      </c>
      <c r="K211">
        <v>1</v>
      </c>
      <c r="L211">
        <v>2</v>
      </c>
      <c r="M211" s="1">
        <f>C211/$B211-1</f>
        <v>-0.49327569644572522</v>
      </c>
      <c r="N211" s="1">
        <f>D211/$B211-1</f>
        <v>-0.33429394812680124</v>
      </c>
      <c r="O211" s="1">
        <f>E211/$B211-1</f>
        <v>0.11251200768491842</v>
      </c>
      <c r="P211">
        <f>_xlfn.RANK.EQ(M211,M$2:M$564)</f>
        <v>172</v>
      </c>
      <c r="Q211">
        <f>_xlfn.RANK.EQ(N211,N$2:N$564)</f>
        <v>186</v>
      </c>
      <c r="R211">
        <f>_xlfn.RANK.EQ(O211,O$2:O$564)</f>
        <v>293</v>
      </c>
      <c r="S211">
        <f>SUM(P211:R211)</f>
        <v>651</v>
      </c>
      <c r="T211">
        <f>_xlfn.RANK.EQ(S211,S$2:S$564, 1)</f>
        <v>210</v>
      </c>
    </row>
    <row r="212" spans="1:20" x14ac:dyDescent="0.35">
      <c r="A212" t="s">
        <v>542</v>
      </c>
      <c r="B212">
        <v>2.77</v>
      </c>
      <c r="C212">
        <v>1.63</v>
      </c>
      <c r="D212">
        <v>1.76</v>
      </c>
      <c r="E212">
        <v>2.75</v>
      </c>
      <c r="F212">
        <v>10.71</v>
      </c>
      <c r="G212">
        <v>-1</v>
      </c>
      <c r="H212">
        <v>1</v>
      </c>
      <c r="I212">
        <v>5</v>
      </c>
      <c r="J212">
        <v>0</v>
      </c>
      <c r="K212">
        <v>1</v>
      </c>
      <c r="L212">
        <v>2</v>
      </c>
      <c r="M212" s="1">
        <f>C212/$B212-1</f>
        <v>-0.41155234657039719</v>
      </c>
      <c r="N212" s="1">
        <f>D212/$B212-1</f>
        <v>-0.36462093862815881</v>
      </c>
      <c r="O212" s="1">
        <f>E212/$B212-1</f>
        <v>-7.2202166064981865E-3</v>
      </c>
      <c r="P212">
        <f>_xlfn.RANK.EQ(M212,M$2:M$564)</f>
        <v>136</v>
      </c>
      <c r="Q212">
        <f>_xlfn.RANK.EQ(N212,N$2:N$564)</f>
        <v>197</v>
      </c>
      <c r="R212">
        <f>_xlfn.RANK.EQ(O212,O$2:O$564)</f>
        <v>319</v>
      </c>
      <c r="S212">
        <f>SUM(P212:R212)</f>
        <v>652</v>
      </c>
      <c r="T212">
        <f>_xlfn.RANK.EQ(S212,S$2:S$564, 1)</f>
        <v>211</v>
      </c>
    </row>
    <row r="213" spans="1:20" x14ac:dyDescent="0.35">
      <c r="A213" t="s">
        <v>128</v>
      </c>
      <c r="B213">
        <v>155.06</v>
      </c>
      <c r="C213">
        <v>80.58</v>
      </c>
      <c r="D213">
        <v>97.43</v>
      </c>
      <c r="E213">
        <v>178.34</v>
      </c>
      <c r="F213">
        <v>11.22</v>
      </c>
      <c r="G213">
        <v>1</v>
      </c>
      <c r="H213">
        <v>3</v>
      </c>
      <c r="I213">
        <v>5</v>
      </c>
      <c r="J213">
        <v>0</v>
      </c>
      <c r="K213">
        <v>0</v>
      </c>
      <c r="L213">
        <v>2</v>
      </c>
      <c r="M213" s="1">
        <f>C213/$B213-1</f>
        <v>-0.4803301947633174</v>
      </c>
      <c r="N213" s="1">
        <f>D213/$B213-1</f>
        <v>-0.37166258222623494</v>
      </c>
      <c r="O213" s="1">
        <f>E213/$B213-1</f>
        <v>0.15013543144589181</v>
      </c>
      <c r="P213">
        <f>_xlfn.RANK.EQ(M213,M$2:M$564)</f>
        <v>167</v>
      </c>
      <c r="Q213">
        <f>_xlfn.RANK.EQ(N213,N$2:N$564)</f>
        <v>202</v>
      </c>
      <c r="R213">
        <f>_xlfn.RANK.EQ(O213,O$2:O$564)</f>
        <v>286</v>
      </c>
      <c r="S213">
        <f>SUM(P213:R213)</f>
        <v>655</v>
      </c>
      <c r="T213">
        <f>_xlfn.RANK.EQ(S213,S$2:S$564, 1)</f>
        <v>212</v>
      </c>
    </row>
    <row r="214" spans="1:20" x14ac:dyDescent="0.35">
      <c r="A214" t="s">
        <v>222</v>
      </c>
      <c r="B214">
        <v>293.5</v>
      </c>
      <c r="C214">
        <v>123.08</v>
      </c>
      <c r="D214">
        <v>200.65</v>
      </c>
      <c r="E214">
        <v>359.89</v>
      </c>
      <c r="F214">
        <v>8.23</v>
      </c>
      <c r="G214">
        <v>1</v>
      </c>
      <c r="H214">
        <v>3</v>
      </c>
      <c r="I214">
        <v>6</v>
      </c>
      <c r="J214">
        <v>0</v>
      </c>
      <c r="K214">
        <v>2</v>
      </c>
      <c r="L214">
        <v>3</v>
      </c>
      <c r="M214" s="1">
        <f>C214/$B214-1</f>
        <v>-0.58064735945485513</v>
      </c>
      <c r="N214" s="1">
        <f>D214/$B214-1</f>
        <v>-0.31635434412265762</v>
      </c>
      <c r="O214" s="1">
        <f>E214/$B214-1</f>
        <v>0.22620102214650761</v>
      </c>
      <c r="P214">
        <f>_xlfn.RANK.EQ(M214,M$2:M$564)</f>
        <v>213</v>
      </c>
      <c r="Q214">
        <f>_xlfn.RANK.EQ(N214,N$2:N$564)</f>
        <v>179</v>
      </c>
      <c r="R214">
        <f>_xlfn.RANK.EQ(O214,O$2:O$564)</f>
        <v>268</v>
      </c>
      <c r="S214">
        <f>SUM(P214:R214)</f>
        <v>660</v>
      </c>
      <c r="T214">
        <f>_xlfn.RANK.EQ(S214,S$2:S$564, 1)</f>
        <v>213</v>
      </c>
    </row>
    <row r="215" spans="1:20" x14ac:dyDescent="0.35">
      <c r="A215" t="s">
        <v>269</v>
      </c>
      <c r="B215">
        <v>512.30999999999995</v>
      </c>
      <c r="C215">
        <v>150.76</v>
      </c>
      <c r="D215">
        <v>309.95999999999998</v>
      </c>
      <c r="E215">
        <v>1298.6400000000001</v>
      </c>
      <c r="F215">
        <v>9.77</v>
      </c>
      <c r="G215">
        <v>2</v>
      </c>
      <c r="H215">
        <v>9</v>
      </c>
      <c r="I215">
        <v>16</v>
      </c>
      <c r="J215">
        <v>0</v>
      </c>
      <c r="K215">
        <v>1</v>
      </c>
      <c r="L215">
        <v>2</v>
      </c>
      <c r="M215" s="1">
        <f>C215/$B215-1</f>
        <v>-0.70572504928656477</v>
      </c>
      <c r="N215" s="1">
        <f>D215/$B215-1</f>
        <v>-0.39497569830766521</v>
      </c>
      <c r="O215" s="1">
        <f>E215/$B215-1</f>
        <v>1.5348714645429529</v>
      </c>
      <c r="P215">
        <f>_xlfn.RANK.EQ(M215,M$2:M$564)</f>
        <v>323</v>
      </c>
      <c r="Q215">
        <f>_xlfn.RANK.EQ(N215,N$2:N$564)</f>
        <v>213</v>
      </c>
      <c r="R215">
        <f>_xlfn.RANK.EQ(O215,O$2:O$564)</f>
        <v>125</v>
      </c>
      <c r="S215">
        <f>SUM(P215:R215)</f>
        <v>661</v>
      </c>
      <c r="T215">
        <f>_xlfn.RANK.EQ(S215,S$2:S$564, 1)</f>
        <v>214</v>
      </c>
    </row>
    <row r="216" spans="1:20" x14ac:dyDescent="0.35">
      <c r="A216" t="s">
        <v>163</v>
      </c>
      <c r="B216">
        <v>173.97</v>
      </c>
      <c r="C216">
        <v>51.24</v>
      </c>
      <c r="D216">
        <v>99.2</v>
      </c>
      <c r="E216">
        <v>467.54</v>
      </c>
      <c r="F216">
        <v>11.31</v>
      </c>
      <c r="G216">
        <v>2</v>
      </c>
      <c r="H216">
        <v>8</v>
      </c>
      <c r="I216">
        <v>15</v>
      </c>
      <c r="J216">
        <v>0</v>
      </c>
      <c r="K216">
        <v>0</v>
      </c>
      <c r="L216">
        <v>2</v>
      </c>
      <c r="M216" s="1">
        <f>C216/$B216-1</f>
        <v>-0.70546645973443689</v>
      </c>
      <c r="N216" s="1">
        <f>D216/$B216-1</f>
        <v>-0.42978674484106449</v>
      </c>
      <c r="O216" s="1">
        <f>E216/$B216-1</f>
        <v>1.6874748519859746</v>
      </c>
      <c r="P216">
        <f>_xlfn.RANK.EQ(M216,M$2:M$564)</f>
        <v>322</v>
      </c>
      <c r="Q216">
        <f>_xlfn.RANK.EQ(N216,N$2:N$564)</f>
        <v>224</v>
      </c>
      <c r="R216">
        <f>_xlfn.RANK.EQ(O216,O$2:O$564)</f>
        <v>116</v>
      </c>
      <c r="S216">
        <f>SUM(P216:R216)</f>
        <v>662</v>
      </c>
      <c r="T216">
        <f>_xlfn.RANK.EQ(S216,S$2:S$564, 1)</f>
        <v>215</v>
      </c>
    </row>
    <row r="217" spans="1:20" x14ac:dyDescent="0.35">
      <c r="A217" t="s">
        <v>472</v>
      </c>
      <c r="B217">
        <v>32.47</v>
      </c>
      <c r="C217">
        <v>17.7</v>
      </c>
      <c r="D217">
        <v>19.579999999999998</v>
      </c>
      <c r="E217">
        <v>35.950000000000003</v>
      </c>
      <c r="F217">
        <v>11.26</v>
      </c>
      <c r="G217">
        <v>0</v>
      </c>
      <c r="H217">
        <v>1</v>
      </c>
      <c r="I217">
        <v>5</v>
      </c>
      <c r="J217">
        <v>0</v>
      </c>
      <c r="K217">
        <v>0</v>
      </c>
      <c r="L217">
        <v>2</v>
      </c>
      <c r="M217" s="1">
        <f>C217/$B217-1</f>
        <v>-0.45488142901139517</v>
      </c>
      <c r="N217" s="1">
        <f>D217/$B217-1</f>
        <v>-0.39698182938096704</v>
      </c>
      <c r="O217" s="1">
        <f>E217/$B217-1</f>
        <v>0.10717585463504786</v>
      </c>
      <c r="P217">
        <f>_xlfn.RANK.EQ(M217,M$2:M$564)</f>
        <v>155</v>
      </c>
      <c r="Q217">
        <f>_xlfn.RANK.EQ(N217,N$2:N$564)</f>
        <v>214</v>
      </c>
      <c r="R217">
        <f>_xlfn.RANK.EQ(O217,O$2:O$564)</f>
        <v>295</v>
      </c>
      <c r="S217">
        <f>SUM(P217:R217)</f>
        <v>664</v>
      </c>
      <c r="T217">
        <f>_xlfn.RANK.EQ(S217,S$2:S$564, 1)</f>
        <v>216</v>
      </c>
    </row>
    <row r="218" spans="1:20" x14ac:dyDescent="0.35">
      <c r="A218" t="s">
        <v>347</v>
      </c>
      <c r="B218">
        <v>45.15</v>
      </c>
      <c r="C218">
        <v>12.05</v>
      </c>
      <c r="D218">
        <v>27.08</v>
      </c>
      <c r="E218">
        <v>131.09</v>
      </c>
      <c r="F218">
        <v>8.75</v>
      </c>
      <c r="G218">
        <v>2</v>
      </c>
      <c r="H218">
        <v>10</v>
      </c>
      <c r="I218">
        <v>18</v>
      </c>
      <c r="J218">
        <v>0</v>
      </c>
      <c r="K218">
        <v>2</v>
      </c>
      <c r="L218">
        <v>3</v>
      </c>
      <c r="M218" s="1">
        <f>C218/$B218-1</f>
        <v>-0.73311184939091911</v>
      </c>
      <c r="N218" s="1">
        <f>D218/$B218-1</f>
        <v>-0.40022148394241419</v>
      </c>
      <c r="O218" s="1">
        <f>E218/$B218-1</f>
        <v>1.9034330011074201</v>
      </c>
      <c r="P218">
        <f>_xlfn.RANK.EQ(M218,M$2:M$564)</f>
        <v>343</v>
      </c>
      <c r="Q218">
        <f>_xlfn.RANK.EQ(N218,N$2:N$564)</f>
        <v>217</v>
      </c>
      <c r="R218">
        <f>_xlfn.RANK.EQ(O218,O$2:O$564)</f>
        <v>105</v>
      </c>
      <c r="S218">
        <f>SUM(P218:R218)</f>
        <v>665</v>
      </c>
      <c r="T218">
        <f>_xlfn.RANK.EQ(S218,S$2:S$564, 1)</f>
        <v>217</v>
      </c>
    </row>
    <row r="219" spans="1:20" x14ac:dyDescent="0.35">
      <c r="A219" t="s">
        <v>212</v>
      </c>
      <c r="B219">
        <v>53.5</v>
      </c>
      <c r="C219">
        <v>23.37</v>
      </c>
      <c r="D219">
        <v>31.1</v>
      </c>
      <c r="E219">
        <v>73.27</v>
      </c>
      <c r="F219">
        <v>11.69</v>
      </c>
      <c r="G219">
        <v>1</v>
      </c>
      <c r="H219">
        <v>4</v>
      </c>
      <c r="I219">
        <v>7</v>
      </c>
      <c r="J219">
        <v>0</v>
      </c>
      <c r="K219">
        <v>1</v>
      </c>
      <c r="L219">
        <v>2</v>
      </c>
      <c r="M219" s="1">
        <f>C219/$B219-1</f>
        <v>-0.56317757009345792</v>
      </c>
      <c r="N219" s="1">
        <f>D219/$B219-1</f>
        <v>-0.41869158878504675</v>
      </c>
      <c r="O219" s="1">
        <f>E219/$B219-1</f>
        <v>0.36953271028037382</v>
      </c>
      <c r="P219">
        <f>_xlfn.RANK.EQ(M219,M$2:M$564)</f>
        <v>201</v>
      </c>
      <c r="Q219">
        <f>_xlfn.RANK.EQ(N219,N$2:N$564)</f>
        <v>220</v>
      </c>
      <c r="R219">
        <f>_xlfn.RANK.EQ(O219,O$2:O$564)</f>
        <v>246</v>
      </c>
      <c r="S219">
        <f>SUM(P219:R219)</f>
        <v>667</v>
      </c>
      <c r="T219">
        <f>_xlfn.RANK.EQ(S219,S$2:S$564, 1)</f>
        <v>218</v>
      </c>
    </row>
    <row r="220" spans="1:20" x14ac:dyDescent="0.35">
      <c r="A220" t="s">
        <v>460</v>
      </c>
      <c r="B220">
        <v>4322.1499999999996</v>
      </c>
      <c r="C220">
        <v>1697.28</v>
      </c>
      <c r="D220">
        <v>2976.95</v>
      </c>
      <c r="E220">
        <v>5439.35</v>
      </c>
      <c r="F220">
        <v>7.92</v>
      </c>
      <c r="G220">
        <v>1</v>
      </c>
      <c r="H220">
        <v>3</v>
      </c>
      <c r="I220">
        <v>5</v>
      </c>
      <c r="J220">
        <v>0</v>
      </c>
      <c r="K220">
        <v>2</v>
      </c>
      <c r="L220">
        <v>3</v>
      </c>
      <c r="M220" s="1">
        <f>C220/$B220-1</f>
        <v>-0.60730654882408053</v>
      </c>
      <c r="N220" s="1">
        <f>D220/$B220-1</f>
        <v>-0.31123399234177429</v>
      </c>
      <c r="O220" s="1">
        <f>E220/$B220-1</f>
        <v>0.25848246821605003</v>
      </c>
      <c r="P220">
        <f>_xlfn.RANK.EQ(M220,M$2:M$564)</f>
        <v>236</v>
      </c>
      <c r="Q220">
        <f>_xlfn.RANK.EQ(N220,N$2:N$564)</f>
        <v>176</v>
      </c>
      <c r="R220">
        <f>_xlfn.RANK.EQ(O220,O$2:O$564)</f>
        <v>261</v>
      </c>
      <c r="S220">
        <f>SUM(P220:R220)</f>
        <v>673</v>
      </c>
      <c r="T220">
        <f>_xlfn.RANK.EQ(S220,S$2:S$564, 1)</f>
        <v>219</v>
      </c>
    </row>
    <row r="221" spans="1:20" x14ac:dyDescent="0.35">
      <c r="A221" t="s">
        <v>550</v>
      </c>
      <c r="B221">
        <v>266.02</v>
      </c>
      <c r="C221">
        <v>58.87</v>
      </c>
      <c r="D221">
        <v>162</v>
      </c>
      <c r="E221">
        <v>854.39</v>
      </c>
      <c r="F221">
        <v>7.98</v>
      </c>
      <c r="G221">
        <v>2</v>
      </c>
      <c r="H221">
        <v>10</v>
      </c>
      <c r="I221">
        <v>18</v>
      </c>
      <c r="J221">
        <v>0</v>
      </c>
      <c r="K221">
        <v>2</v>
      </c>
      <c r="L221">
        <v>3</v>
      </c>
      <c r="M221" s="1">
        <f>C221/$B221-1</f>
        <v>-0.77870084956018348</v>
      </c>
      <c r="N221" s="1">
        <f>D221/$B221-1</f>
        <v>-0.39102323133598971</v>
      </c>
      <c r="O221" s="1">
        <f>E221/$B221-1</f>
        <v>2.2117509961657018</v>
      </c>
      <c r="P221">
        <f>_xlfn.RANK.EQ(M221,M$2:M$564)</f>
        <v>381</v>
      </c>
      <c r="Q221">
        <f>_xlfn.RANK.EQ(N221,N$2:N$564)</f>
        <v>209</v>
      </c>
      <c r="R221">
        <f>_xlfn.RANK.EQ(O221,O$2:O$564)</f>
        <v>86</v>
      </c>
      <c r="S221">
        <f>SUM(P221:R221)</f>
        <v>676</v>
      </c>
      <c r="T221">
        <f>_xlfn.RANK.EQ(S221,S$2:S$564, 1)</f>
        <v>220</v>
      </c>
    </row>
    <row r="222" spans="1:20" x14ac:dyDescent="0.35">
      <c r="A222" t="s">
        <v>359</v>
      </c>
      <c r="B222">
        <v>117.92</v>
      </c>
      <c r="C222">
        <v>31.2</v>
      </c>
      <c r="D222">
        <v>66.23</v>
      </c>
      <c r="E222">
        <v>342.15</v>
      </c>
      <c r="F222">
        <v>10.29</v>
      </c>
      <c r="G222">
        <v>2</v>
      </c>
      <c r="H222">
        <v>10</v>
      </c>
      <c r="I222">
        <v>18</v>
      </c>
      <c r="J222">
        <v>0</v>
      </c>
      <c r="K222">
        <v>0</v>
      </c>
      <c r="L222">
        <v>2</v>
      </c>
      <c r="M222" s="1">
        <f>C222/$B222-1</f>
        <v>-0.73541383989145181</v>
      </c>
      <c r="N222" s="1">
        <f>D222/$B222-1</f>
        <v>-0.43834803256445043</v>
      </c>
      <c r="O222" s="1">
        <f>E222/$B222-1</f>
        <v>1.9015434192672998</v>
      </c>
      <c r="P222">
        <f>_xlfn.RANK.EQ(M222,M$2:M$564)</f>
        <v>345</v>
      </c>
      <c r="Q222">
        <f>_xlfn.RANK.EQ(N222,N$2:N$564)</f>
        <v>229</v>
      </c>
      <c r="R222">
        <f>_xlfn.RANK.EQ(O222,O$2:O$564)</f>
        <v>106</v>
      </c>
      <c r="S222">
        <f>SUM(P222:R222)</f>
        <v>680</v>
      </c>
      <c r="T222">
        <f>_xlfn.RANK.EQ(S222,S$2:S$564, 1)</f>
        <v>221</v>
      </c>
    </row>
    <row r="223" spans="1:20" x14ac:dyDescent="0.35">
      <c r="A223" t="s">
        <v>262</v>
      </c>
      <c r="B223">
        <v>136.06</v>
      </c>
      <c r="C223">
        <v>70.36</v>
      </c>
      <c r="D223">
        <v>73.78</v>
      </c>
      <c r="E223">
        <v>166.46</v>
      </c>
      <c r="F223">
        <v>12.44</v>
      </c>
      <c r="G223">
        <v>-2</v>
      </c>
      <c r="H223">
        <v>1</v>
      </c>
      <c r="I223">
        <v>5</v>
      </c>
      <c r="J223">
        <v>0</v>
      </c>
      <c r="K223">
        <v>0</v>
      </c>
      <c r="L223">
        <v>2</v>
      </c>
      <c r="M223" s="1">
        <f>C223/$B223-1</f>
        <v>-0.4828752021167132</v>
      </c>
      <c r="N223" s="1">
        <f>D223/$B223-1</f>
        <v>-0.45773923269145966</v>
      </c>
      <c r="O223" s="1">
        <f>E223/$B223-1</f>
        <v>0.22343083933558727</v>
      </c>
      <c r="P223">
        <f>_xlfn.RANK.EQ(M223,M$2:M$564)</f>
        <v>169</v>
      </c>
      <c r="Q223">
        <f>_xlfn.RANK.EQ(N223,N$2:N$564)</f>
        <v>241</v>
      </c>
      <c r="R223">
        <f>_xlfn.RANK.EQ(O223,O$2:O$564)</f>
        <v>270</v>
      </c>
      <c r="S223">
        <f>SUM(P223:R223)</f>
        <v>680</v>
      </c>
      <c r="T223">
        <f>_xlfn.RANK.EQ(S223,S$2:S$564, 1)</f>
        <v>221</v>
      </c>
    </row>
    <row r="224" spans="1:20" x14ac:dyDescent="0.35">
      <c r="A224" t="s">
        <v>97</v>
      </c>
      <c r="B224">
        <v>238.54</v>
      </c>
      <c r="C224">
        <v>125.94</v>
      </c>
      <c r="D224">
        <v>144.44999999999999</v>
      </c>
      <c r="E224">
        <v>251.28</v>
      </c>
      <c r="F224">
        <v>10.44</v>
      </c>
      <c r="G224">
        <v>0</v>
      </c>
      <c r="H224">
        <v>1</v>
      </c>
      <c r="I224">
        <v>5</v>
      </c>
      <c r="J224">
        <v>0</v>
      </c>
      <c r="K224">
        <v>1</v>
      </c>
      <c r="L224">
        <v>2</v>
      </c>
      <c r="M224" s="1">
        <f>C224/$B224-1</f>
        <v>-0.47203823258153765</v>
      </c>
      <c r="N224" s="1">
        <f>D224/$B224-1</f>
        <v>-0.39444118386853355</v>
      </c>
      <c r="O224" s="1">
        <f>E224/$B224-1</f>
        <v>5.3408233419971474E-2</v>
      </c>
      <c r="P224">
        <f>_xlfn.RANK.EQ(M224,M$2:M$564)</f>
        <v>164</v>
      </c>
      <c r="Q224">
        <f>_xlfn.RANK.EQ(N224,N$2:N$564)</f>
        <v>212</v>
      </c>
      <c r="R224">
        <f>_xlfn.RANK.EQ(O224,O$2:O$564)</f>
        <v>305</v>
      </c>
      <c r="S224">
        <f>SUM(P224:R224)</f>
        <v>681</v>
      </c>
      <c r="T224">
        <f>_xlfn.RANK.EQ(S224,S$2:S$564, 1)</f>
        <v>223</v>
      </c>
    </row>
    <row r="225" spans="1:20" x14ac:dyDescent="0.35">
      <c r="A225" t="s">
        <v>89</v>
      </c>
      <c r="B225">
        <v>29.57</v>
      </c>
      <c r="C225">
        <v>14.26</v>
      </c>
      <c r="D225">
        <v>16.18</v>
      </c>
      <c r="E225">
        <v>36.5</v>
      </c>
      <c r="F225">
        <v>12.13</v>
      </c>
      <c r="G225">
        <v>0</v>
      </c>
      <c r="H225">
        <v>1</v>
      </c>
      <c r="I225">
        <v>5</v>
      </c>
      <c r="J225">
        <v>0</v>
      </c>
      <c r="K225">
        <v>0</v>
      </c>
      <c r="L225">
        <v>2</v>
      </c>
      <c r="M225" s="1">
        <f>C225/$B225-1</f>
        <v>-0.51775448089279674</v>
      </c>
      <c r="N225" s="1">
        <f>D225/$B225-1</f>
        <v>-0.4528238079134258</v>
      </c>
      <c r="O225" s="1">
        <f>E225/$B225-1</f>
        <v>0.23435914778491718</v>
      </c>
      <c r="P225">
        <f>_xlfn.RANK.EQ(M225,M$2:M$564)</f>
        <v>184</v>
      </c>
      <c r="Q225">
        <f>_xlfn.RANK.EQ(N225,N$2:N$564)</f>
        <v>235</v>
      </c>
      <c r="R225">
        <f>_xlfn.RANK.EQ(O225,O$2:O$564)</f>
        <v>267</v>
      </c>
      <c r="S225">
        <f>SUM(P225:R225)</f>
        <v>686</v>
      </c>
      <c r="T225">
        <f>_xlfn.RANK.EQ(S225,S$2:S$564, 1)</f>
        <v>224</v>
      </c>
    </row>
    <row r="226" spans="1:20" x14ac:dyDescent="0.35">
      <c r="A226" t="s">
        <v>108</v>
      </c>
      <c r="B226">
        <v>139.47999999999999</v>
      </c>
      <c r="C226">
        <v>52.22</v>
      </c>
      <c r="D226">
        <v>87.38</v>
      </c>
      <c r="E226">
        <v>196.76</v>
      </c>
      <c r="F226">
        <v>6.93</v>
      </c>
      <c r="G226">
        <v>0</v>
      </c>
      <c r="H226">
        <v>2</v>
      </c>
      <c r="I226">
        <v>5</v>
      </c>
      <c r="J226">
        <v>1</v>
      </c>
      <c r="K226">
        <v>2</v>
      </c>
      <c r="L226">
        <v>4</v>
      </c>
      <c r="M226" s="1">
        <f>C226/$B226-1</f>
        <v>-0.62560940636650408</v>
      </c>
      <c r="N226" s="1">
        <f>D226/$B226-1</f>
        <v>-0.37353025523372529</v>
      </c>
      <c r="O226" s="1">
        <f>E226/$B226-1</f>
        <v>0.41066819615715522</v>
      </c>
      <c r="P226">
        <f>_xlfn.RANK.EQ(M226,M$2:M$564)</f>
        <v>252</v>
      </c>
      <c r="Q226">
        <f>_xlfn.RANK.EQ(N226,N$2:N$564)</f>
        <v>204</v>
      </c>
      <c r="R226">
        <f>_xlfn.RANK.EQ(O226,O$2:O$564)</f>
        <v>235</v>
      </c>
      <c r="S226">
        <f>SUM(P226:R226)</f>
        <v>691</v>
      </c>
      <c r="T226">
        <f>_xlfn.RANK.EQ(S226,S$2:S$564, 1)</f>
        <v>225</v>
      </c>
    </row>
    <row r="227" spans="1:20" x14ac:dyDescent="0.35">
      <c r="A227" t="s">
        <v>231</v>
      </c>
      <c r="B227">
        <v>27.23</v>
      </c>
      <c r="C227">
        <v>12.86</v>
      </c>
      <c r="D227">
        <v>15.11</v>
      </c>
      <c r="E227">
        <v>32.909999999999997</v>
      </c>
      <c r="F227">
        <v>12.44</v>
      </c>
      <c r="G227">
        <v>0</v>
      </c>
      <c r="H227">
        <v>2</v>
      </c>
      <c r="I227">
        <v>5</v>
      </c>
      <c r="J227">
        <v>0</v>
      </c>
      <c r="K227">
        <v>0</v>
      </c>
      <c r="L227">
        <v>2</v>
      </c>
      <c r="M227" s="1">
        <f>C227/$B227-1</f>
        <v>-0.52772677194271034</v>
      </c>
      <c r="N227" s="1">
        <f>D227/$B227-1</f>
        <v>-0.44509731913330886</v>
      </c>
      <c r="O227" s="1">
        <f>E227/$B227-1</f>
        <v>0.20859346309217752</v>
      </c>
      <c r="P227">
        <f>_xlfn.RANK.EQ(M227,M$2:M$564)</f>
        <v>187</v>
      </c>
      <c r="Q227">
        <f>_xlfn.RANK.EQ(N227,N$2:N$564)</f>
        <v>233</v>
      </c>
      <c r="R227">
        <f>_xlfn.RANK.EQ(O227,O$2:O$564)</f>
        <v>271</v>
      </c>
      <c r="S227">
        <f>SUM(P227:R227)</f>
        <v>691</v>
      </c>
      <c r="T227">
        <f>_xlfn.RANK.EQ(S227,S$2:S$564, 1)</f>
        <v>225</v>
      </c>
    </row>
    <row r="228" spans="1:20" x14ac:dyDescent="0.35">
      <c r="A228" t="s">
        <v>55</v>
      </c>
      <c r="B228">
        <v>177.82</v>
      </c>
      <c r="C228">
        <v>32.6</v>
      </c>
      <c r="D228">
        <v>98.24</v>
      </c>
      <c r="E228">
        <v>858.61</v>
      </c>
      <c r="F228">
        <v>1.74</v>
      </c>
      <c r="G228">
        <v>2</v>
      </c>
      <c r="H228">
        <v>10</v>
      </c>
      <c r="I228">
        <v>18</v>
      </c>
      <c r="J228">
        <v>1</v>
      </c>
      <c r="K228">
        <v>3</v>
      </c>
      <c r="L228">
        <v>6</v>
      </c>
      <c r="M228" s="1">
        <f>C228/$B228-1</f>
        <v>-0.81666854122145982</v>
      </c>
      <c r="N228" s="1">
        <f>D228/$B228-1</f>
        <v>-0.44753121133730744</v>
      </c>
      <c r="O228" s="1">
        <f>E228/$B228-1</f>
        <v>3.828534473062648</v>
      </c>
      <c r="P228">
        <f>_xlfn.RANK.EQ(M228,M$2:M$564)</f>
        <v>412</v>
      </c>
      <c r="Q228">
        <f>_xlfn.RANK.EQ(N228,N$2:N$564)</f>
        <v>234</v>
      </c>
      <c r="R228">
        <f>_xlfn.RANK.EQ(O228,O$2:O$564)</f>
        <v>46</v>
      </c>
      <c r="S228">
        <f>SUM(P228:R228)</f>
        <v>692</v>
      </c>
      <c r="T228">
        <f>_xlfn.RANK.EQ(S228,S$2:S$564, 1)</f>
        <v>227</v>
      </c>
    </row>
    <row r="229" spans="1:20" x14ac:dyDescent="0.35">
      <c r="A229" t="s">
        <v>430</v>
      </c>
      <c r="B229">
        <v>17.36</v>
      </c>
      <c r="C229">
        <v>7.46</v>
      </c>
      <c r="D229">
        <v>9.4600000000000009</v>
      </c>
      <c r="E229">
        <v>22.9</v>
      </c>
      <c r="F229">
        <v>12.55</v>
      </c>
      <c r="G229">
        <v>1</v>
      </c>
      <c r="H229">
        <v>3</v>
      </c>
      <c r="I229">
        <v>6</v>
      </c>
      <c r="J229">
        <v>0</v>
      </c>
      <c r="K229">
        <v>1</v>
      </c>
      <c r="L229">
        <v>2</v>
      </c>
      <c r="M229" s="1">
        <f>C229/$B229-1</f>
        <v>-0.57027649769585254</v>
      </c>
      <c r="N229" s="1">
        <f>D229/$B229-1</f>
        <v>-0.45506912442396308</v>
      </c>
      <c r="O229" s="1">
        <f>E229/$B229-1</f>
        <v>0.31912442396313367</v>
      </c>
      <c r="P229">
        <f>_xlfn.RANK.EQ(M229,M$2:M$564)</f>
        <v>205</v>
      </c>
      <c r="Q229">
        <f>_xlfn.RANK.EQ(N229,N$2:N$564)</f>
        <v>237</v>
      </c>
      <c r="R229">
        <f>_xlfn.RANK.EQ(O229,O$2:O$564)</f>
        <v>252</v>
      </c>
      <c r="S229">
        <f>SUM(P229:R229)</f>
        <v>694</v>
      </c>
      <c r="T229">
        <f>_xlfn.RANK.EQ(S229,S$2:S$564, 1)</f>
        <v>228</v>
      </c>
    </row>
    <row r="230" spans="1:20" x14ac:dyDescent="0.35">
      <c r="A230" t="s">
        <v>68</v>
      </c>
      <c r="B230">
        <v>580.41</v>
      </c>
      <c r="C230">
        <v>161.31</v>
      </c>
      <c r="D230">
        <v>336.13</v>
      </c>
      <c r="E230">
        <v>1382.46</v>
      </c>
      <c r="F230">
        <v>5.68</v>
      </c>
      <c r="G230">
        <v>1</v>
      </c>
      <c r="H230">
        <v>6</v>
      </c>
      <c r="I230">
        <v>10</v>
      </c>
      <c r="J230">
        <v>0</v>
      </c>
      <c r="K230">
        <v>2</v>
      </c>
      <c r="L230">
        <v>4</v>
      </c>
      <c r="M230" s="1">
        <f>C230/$B230-1</f>
        <v>-0.72207577402181222</v>
      </c>
      <c r="N230" s="1">
        <f>D230/$B230-1</f>
        <v>-0.42087489877844975</v>
      </c>
      <c r="O230" s="1">
        <f>E230/$B230-1</f>
        <v>1.3818679898692308</v>
      </c>
      <c r="P230">
        <f>_xlfn.RANK.EQ(M230,M$2:M$564)</f>
        <v>335</v>
      </c>
      <c r="Q230">
        <f>_xlfn.RANK.EQ(N230,N$2:N$564)</f>
        <v>222</v>
      </c>
      <c r="R230">
        <f>_xlfn.RANK.EQ(O230,O$2:O$564)</f>
        <v>139</v>
      </c>
      <c r="S230">
        <f>SUM(P230:R230)</f>
        <v>696</v>
      </c>
      <c r="T230">
        <f>_xlfn.RANK.EQ(S230,S$2:S$564, 1)</f>
        <v>229</v>
      </c>
    </row>
    <row r="231" spans="1:20" x14ac:dyDescent="0.35">
      <c r="A231" t="s">
        <v>65</v>
      </c>
      <c r="B231">
        <v>755.39</v>
      </c>
      <c r="C231">
        <v>175.21</v>
      </c>
      <c r="D231">
        <v>430.41</v>
      </c>
      <c r="E231">
        <v>2257.16</v>
      </c>
      <c r="F231">
        <v>9.3699999999999992</v>
      </c>
      <c r="G231">
        <v>2</v>
      </c>
      <c r="H231">
        <v>10</v>
      </c>
      <c r="I231">
        <v>18</v>
      </c>
      <c r="J231">
        <v>0</v>
      </c>
      <c r="K231">
        <v>1</v>
      </c>
      <c r="L231">
        <v>2</v>
      </c>
      <c r="M231" s="1">
        <f>C231/$B231-1</f>
        <v>-0.7680535882127113</v>
      </c>
      <c r="N231" s="1">
        <f>D231/$B231-1</f>
        <v>-0.43021485590224917</v>
      </c>
      <c r="O231" s="1">
        <f>E231/$B231-1</f>
        <v>1.9880723864493834</v>
      </c>
      <c r="P231">
        <f>_xlfn.RANK.EQ(M231,M$2:M$564)</f>
        <v>371</v>
      </c>
      <c r="Q231">
        <f>_xlfn.RANK.EQ(N231,N$2:N$564)</f>
        <v>225</v>
      </c>
      <c r="R231">
        <f>_xlfn.RANK.EQ(O231,O$2:O$564)</f>
        <v>102</v>
      </c>
      <c r="S231">
        <f>SUM(P231:R231)</f>
        <v>698</v>
      </c>
      <c r="T231">
        <f>_xlfn.RANK.EQ(S231,S$2:S$564, 1)</f>
        <v>230</v>
      </c>
    </row>
    <row r="232" spans="1:20" x14ac:dyDescent="0.35">
      <c r="A232" t="s">
        <v>23</v>
      </c>
      <c r="B232">
        <v>18.62</v>
      </c>
      <c r="C232">
        <v>3.29</v>
      </c>
      <c r="D232">
        <v>9.58</v>
      </c>
      <c r="E232">
        <v>124.59</v>
      </c>
      <c r="F232">
        <v>9.32</v>
      </c>
      <c r="G232">
        <v>2</v>
      </c>
      <c r="H232">
        <v>10</v>
      </c>
      <c r="I232">
        <v>18</v>
      </c>
      <c r="J232">
        <v>1</v>
      </c>
      <c r="K232">
        <v>5</v>
      </c>
      <c r="L232">
        <v>9</v>
      </c>
      <c r="M232" s="1">
        <f>C232/$B232-1</f>
        <v>-0.82330827067669177</v>
      </c>
      <c r="N232" s="1">
        <f>D232/$B232-1</f>
        <v>-0.485499462943072</v>
      </c>
      <c r="O232" s="1">
        <f>E232/$B232-1</f>
        <v>5.6911922663802361</v>
      </c>
      <c r="P232">
        <f>_xlfn.RANK.EQ(M232,M$2:M$564)</f>
        <v>421</v>
      </c>
      <c r="Q232">
        <f>_xlfn.RANK.EQ(N232,N$2:N$564)</f>
        <v>254</v>
      </c>
      <c r="R232">
        <f>_xlfn.RANK.EQ(O232,O$2:O$564)</f>
        <v>29</v>
      </c>
      <c r="S232">
        <f>SUM(P232:R232)</f>
        <v>704</v>
      </c>
      <c r="T232">
        <f>_xlfn.RANK.EQ(S232,S$2:S$564, 1)</f>
        <v>231</v>
      </c>
    </row>
    <row r="233" spans="1:20" x14ac:dyDescent="0.35">
      <c r="A233" t="s">
        <v>509</v>
      </c>
      <c r="B233">
        <v>127.99</v>
      </c>
      <c r="C233">
        <v>67.66</v>
      </c>
      <c r="D233">
        <v>74.260000000000005</v>
      </c>
      <c r="E233">
        <v>126.96</v>
      </c>
      <c r="F233">
        <v>10.32</v>
      </c>
      <c r="G233">
        <v>-1</v>
      </c>
      <c r="H233">
        <v>1</v>
      </c>
      <c r="I233">
        <v>5</v>
      </c>
      <c r="J233">
        <v>0</v>
      </c>
      <c r="K233">
        <v>1</v>
      </c>
      <c r="L233">
        <v>2</v>
      </c>
      <c r="M233" s="1">
        <f>C233/$B233-1</f>
        <v>-0.47136495038674897</v>
      </c>
      <c r="N233" s="1">
        <f>D233/$B233-1</f>
        <v>-0.41979842175169924</v>
      </c>
      <c r="O233" s="1">
        <f>E233/$B233-1</f>
        <v>-8.0475037112274217E-3</v>
      </c>
      <c r="P233">
        <f>_xlfn.RANK.EQ(M233,M$2:M$564)</f>
        <v>163</v>
      </c>
      <c r="Q233">
        <f>_xlfn.RANK.EQ(N233,N$2:N$564)</f>
        <v>221</v>
      </c>
      <c r="R233">
        <f>_xlfn.RANK.EQ(O233,O$2:O$564)</f>
        <v>321</v>
      </c>
      <c r="S233">
        <f>SUM(P233:R233)</f>
        <v>705</v>
      </c>
      <c r="T233">
        <f>_xlfn.RANK.EQ(S233,S$2:S$564, 1)</f>
        <v>232</v>
      </c>
    </row>
    <row r="234" spans="1:20" x14ac:dyDescent="0.35">
      <c r="A234" t="s">
        <v>235</v>
      </c>
      <c r="B234">
        <v>79.56</v>
      </c>
      <c r="C234">
        <v>22.29</v>
      </c>
      <c r="D234">
        <v>41.33</v>
      </c>
      <c r="E234">
        <v>203.45</v>
      </c>
      <c r="F234">
        <v>11.9</v>
      </c>
      <c r="G234">
        <v>2</v>
      </c>
      <c r="H234">
        <v>8</v>
      </c>
      <c r="I234">
        <v>14</v>
      </c>
      <c r="J234">
        <v>0</v>
      </c>
      <c r="K234">
        <v>0</v>
      </c>
      <c r="L234">
        <v>2</v>
      </c>
      <c r="M234" s="1">
        <f>C234/$B234-1</f>
        <v>-0.7198340874811463</v>
      </c>
      <c r="N234" s="1">
        <f>D234/$B234-1</f>
        <v>-0.48051784816490706</v>
      </c>
      <c r="O234" s="1">
        <f>E234/$B234-1</f>
        <v>1.5571895424836599</v>
      </c>
      <c r="P234">
        <f>_xlfn.RANK.EQ(M234,M$2:M$564)</f>
        <v>330</v>
      </c>
      <c r="Q234">
        <f>_xlfn.RANK.EQ(N234,N$2:N$564)</f>
        <v>253</v>
      </c>
      <c r="R234">
        <f>_xlfn.RANK.EQ(O234,O$2:O$564)</f>
        <v>123</v>
      </c>
      <c r="S234">
        <f>SUM(P234:R234)</f>
        <v>706</v>
      </c>
      <c r="T234">
        <f>_xlfn.RANK.EQ(S234,S$2:S$564, 1)</f>
        <v>233</v>
      </c>
    </row>
    <row r="235" spans="1:20" x14ac:dyDescent="0.35">
      <c r="A235" t="s">
        <v>457</v>
      </c>
      <c r="B235">
        <v>297.27999999999997</v>
      </c>
      <c r="C235">
        <v>114.8</v>
      </c>
      <c r="D235">
        <v>156.35</v>
      </c>
      <c r="E235">
        <v>442.36</v>
      </c>
      <c r="F235">
        <v>11.6</v>
      </c>
      <c r="G235">
        <v>1</v>
      </c>
      <c r="H235">
        <v>7</v>
      </c>
      <c r="I235">
        <v>12</v>
      </c>
      <c r="J235">
        <v>0</v>
      </c>
      <c r="K235">
        <v>0</v>
      </c>
      <c r="L235">
        <v>2</v>
      </c>
      <c r="M235" s="1">
        <f>C235/$B235-1</f>
        <v>-0.61383207750269109</v>
      </c>
      <c r="N235" s="1">
        <f>D235/$B235-1</f>
        <v>-0.47406485468245418</v>
      </c>
      <c r="O235" s="1">
        <f>E235/$B235-1</f>
        <v>0.4880247578040906</v>
      </c>
      <c r="P235">
        <f>_xlfn.RANK.EQ(M235,M$2:M$564)</f>
        <v>241</v>
      </c>
      <c r="Q235">
        <f>_xlfn.RANK.EQ(N235,N$2:N$564)</f>
        <v>252</v>
      </c>
      <c r="R235">
        <f>_xlfn.RANK.EQ(O235,O$2:O$564)</f>
        <v>218</v>
      </c>
      <c r="S235">
        <f>SUM(P235:R235)</f>
        <v>711</v>
      </c>
      <c r="T235">
        <f>_xlfn.RANK.EQ(S235,S$2:S$564, 1)</f>
        <v>234</v>
      </c>
    </row>
    <row r="236" spans="1:20" x14ac:dyDescent="0.35">
      <c r="A236" t="s">
        <v>270</v>
      </c>
      <c r="B236">
        <v>93.95</v>
      </c>
      <c r="C236">
        <v>22.16</v>
      </c>
      <c r="D236">
        <v>47.11</v>
      </c>
      <c r="E236">
        <v>303.26</v>
      </c>
      <c r="F236">
        <v>11.82</v>
      </c>
      <c r="G236">
        <v>2</v>
      </c>
      <c r="H236">
        <v>10</v>
      </c>
      <c r="I236">
        <v>18</v>
      </c>
      <c r="J236">
        <v>0</v>
      </c>
      <c r="K236">
        <v>0</v>
      </c>
      <c r="L236">
        <v>2</v>
      </c>
      <c r="M236" s="1">
        <f>C236/$B236-1</f>
        <v>-0.76412985630654606</v>
      </c>
      <c r="N236" s="1">
        <f>D236/$B236-1</f>
        <v>-0.49856306546035123</v>
      </c>
      <c r="O236" s="1">
        <f>E236/$B236-1</f>
        <v>2.2278871740287385</v>
      </c>
      <c r="P236">
        <f>_xlfn.RANK.EQ(M236,M$2:M$564)</f>
        <v>368</v>
      </c>
      <c r="Q236">
        <f>_xlfn.RANK.EQ(N236,N$2:N$564)</f>
        <v>262</v>
      </c>
      <c r="R236">
        <f>_xlfn.RANK.EQ(O236,O$2:O$564)</f>
        <v>83</v>
      </c>
      <c r="S236">
        <f>SUM(P236:R236)</f>
        <v>713</v>
      </c>
      <c r="T236">
        <f>_xlfn.RANK.EQ(S236,S$2:S$564, 1)</f>
        <v>235</v>
      </c>
    </row>
    <row r="237" spans="1:20" x14ac:dyDescent="0.35">
      <c r="A237" t="s">
        <v>495</v>
      </c>
      <c r="B237">
        <v>61.67</v>
      </c>
      <c r="C237">
        <v>17.22</v>
      </c>
      <c r="D237">
        <v>30.18</v>
      </c>
      <c r="E237">
        <v>168.32</v>
      </c>
      <c r="F237">
        <v>12.46</v>
      </c>
      <c r="G237">
        <v>2</v>
      </c>
      <c r="H237">
        <v>8</v>
      </c>
      <c r="I237">
        <v>15</v>
      </c>
      <c r="J237">
        <v>0</v>
      </c>
      <c r="K237">
        <v>0</v>
      </c>
      <c r="L237">
        <v>2</v>
      </c>
      <c r="M237" s="1">
        <f>C237/$B237-1</f>
        <v>-0.72077185017026113</v>
      </c>
      <c r="N237" s="1">
        <f>D237/$B237-1</f>
        <v>-0.51062104751094539</v>
      </c>
      <c r="O237" s="1">
        <f>E237/$B237-1</f>
        <v>1.7293659802172852</v>
      </c>
      <c r="P237">
        <f>_xlfn.RANK.EQ(M237,M$2:M$564)</f>
        <v>333</v>
      </c>
      <c r="Q237">
        <f>_xlfn.RANK.EQ(N237,N$2:N$564)</f>
        <v>268</v>
      </c>
      <c r="R237">
        <f>_xlfn.RANK.EQ(O237,O$2:O$564)</f>
        <v>114</v>
      </c>
      <c r="S237">
        <f>SUM(P237:R237)</f>
        <v>715</v>
      </c>
      <c r="T237">
        <f>_xlfn.RANK.EQ(S237,S$2:S$564, 1)</f>
        <v>236</v>
      </c>
    </row>
    <row r="238" spans="1:20" x14ac:dyDescent="0.35">
      <c r="A238" t="s">
        <v>362</v>
      </c>
      <c r="B238">
        <v>62.53</v>
      </c>
      <c r="C238">
        <v>38.229999999999997</v>
      </c>
      <c r="D238">
        <v>38.549999999999997</v>
      </c>
      <c r="E238">
        <v>49.41</v>
      </c>
      <c r="F238">
        <v>13.37</v>
      </c>
      <c r="G238">
        <v>-3</v>
      </c>
      <c r="H238">
        <v>1</v>
      </c>
      <c r="I238">
        <v>5</v>
      </c>
      <c r="J238">
        <v>0</v>
      </c>
      <c r="K238">
        <v>0</v>
      </c>
      <c r="L238">
        <v>2</v>
      </c>
      <c r="M238" s="1">
        <f>C238/$B238-1</f>
        <v>-0.38861346553654252</v>
      </c>
      <c r="N238" s="1">
        <f>D238/$B238-1</f>
        <v>-0.38349592195746052</v>
      </c>
      <c r="O238" s="1">
        <f>E238/$B238-1</f>
        <v>-0.20981928674236372</v>
      </c>
      <c r="P238">
        <f>_xlfn.RANK.EQ(M238,M$2:M$564)</f>
        <v>130</v>
      </c>
      <c r="Q238">
        <f>_xlfn.RANK.EQ(N238,N$2:N$564)</f>
        <v>205</v>
      </c>
      <c r="R238">
        <f>_xlfn.RANK.EQ(O238,O$2:O$564)</f>
        <v>383</v>
      </c>
      <c r="S238">
        <f>SUM(P238:R238)</f>
        <v>718</v>
      </c>
      <c r="T238">
        <f>_xlfn.RANK.EQ(S238,S$2:S$564, 1)</f>
        <v>237</v>
      </c>
    </row>
    <row r="239" spans="1:20" x14ac:dyDescent="0.35">
      <c r="A239" t="s">
        <v>473</v>
      </c>
      <c r="B239">
        <v>938</v>
      </c>
      <c r="C239">
        <v>396.74</v>
      </c>
      <c r="D239">
        <v>525.49</v>
      </c>
      <c r="E239">
        <v>1117.9000000000001</v>
      </c>
      <c r="F239">
        <v>11.32</v>
      </c>
      <c r="G239">
        <v>1</v>
      </c>
      <c r="H239">
        <v>3</v>
      </c>
      <c r="I239">
        <v>6</v>
      </c>
      <c r="J239">
        <v>0</v>
      </c>
      <c r="K239">
        <v>0</v>
      </c>
      <c r="L239">
        <v>2</v>
      </c>
      <c r="M239" s="1">
        <f>C239/$B239-1</f>
        <v>-0.57703624733475478</v>
      </c>
      <c r="N239" s="1">
        <f>D239/$B239-1</f>
        <v>-0.43977611940298511</v>
      </c>
      <c r="O239" s="1">
        <f>E239/$B239-1</f>
        <v>0.19179104477611952</v>
      </c>
      <c r="P239">
        <f>_xlfn.RANK.EQ(M239,M$2:M$564)</f>
        <v>212</v>
      </c>
      <c r="Q239">
        <f>_xlfn.RANK.EQ(N239,N$2:N$564)</f>
        <v>230</v>
      </c>
      <c r="R239">
        <f>_xlfn.RANK.EQ(O239,O$2:O$564)</f>
        <v>278</v>
      </c>
      <c r="S239">
        <f>SUM(P239:R239)</f>
        <v>720</v>
      </c>
      <c r="T239">
        <f>_xlfn.RANK.EQ(S239,S$2:S$564, 1)</f>
        <v>238</v>
      </c>
    </row>
    <row r="240" spans="1:20" x14ac:dyDescent="0.35">
      <c r="A240" t="s">
        <v>141</v>
      </c>
      <c r="B240">
        <v>452.05</v>
      </c>
      <c r="C240">
        <v>175.45</v>
      </c>
      <c r="D240">
        <v>287.33999999999997</v>
      </c>
      <c r="E240">
        <v>515.25</v>
      </c>
      <c r="F240">
        <v>8.34</v>
      </c>
      <c r="G240">
        <v>1</v>
      </c>
      <c r="H240">
        <v>2</v>
      </c>
      <c r="I240">
        <v>5</v>
      </c>
      <c r="J240">
        <v>0</v>
      </c>
      <c r="K240">
        <v>2</v>
      </c>
      <c r="L240">
        <v>3</v>
      </c>
      <c r="M240" s="1">
        <f>C240/$B240-1</f>
        <v>-0.61187921690078539</v>
      </c>
      <c r="N240" s="1">
        <f>D240/$B240-1</f>
        <v>-0.36436234929764411</v>
      </c>
      <c r="O240" s="1">
        <f>E240/$B240-1</f>
        <v>0.13980754341333923</v>
      </c>
      <c r="P240">
        <f>_xlfn.RANK.EQ(M240,M$2:M$564)</f>
        <v>238</v>
      </c>
      <c r="Q240">
        <f>_xlfn.RANK.EQ(N240,N$2:N$564)</f>
        <v>196</v>
      </c>
      <c r="R240">
        <f>_xlfn.RANK.EQ(O240,O$2:O$564)</f>
        <v>288</v>
      </c>
      <c r="S240">
        <f>SUM(P240:R240)</f>
        <v>722</v>
      </c>
      <c r="T240">
        <f>_xlfn.RANK.EQ(S240,S$2:S$564, 1)</f>
        <v>239</v>
      </c>
    </row>
    <row r="241" spans="1:20" x14ac:dyDescent="0.35">
      <c r="A241" t="s">
        <v>436</v>
      </c>
      <c r="B241">
        <v>139.38999999999999</v>
      </c>
      <c r="C241">
        <v>28.36</v>
      </c>
      <c r="D241">
        <v>71.180000000000007</v>
      </c>
      <c r="E241">
        <v>492.43</v>
      </c>
      <c r="F241">
        <v>5.35</v>
      </c>
      <c r="G241">
        <v>2</v>
      </c>
      <c r="H241">
        <v>9</v>
      </c>
      <c r="I241">
        <v>16</v>
      </c>
      <c r="J241">
        <v>1</v>
      </c>
      <c r="K241">
        <v>5</v>
      </c>
      <c r="L241">
        <v>9</v>
      </c>
      <c r="M241" s="1">
        <f>C241/$B241-1</f>
        <v>-0.79654207618910966</v>
      </c>
      <c r="N241" s="1">
        <f>D241/$B241-1</f>
        <v>-0.48934643805151001</v>
      </c>
      <c r="O241" s="1">
        <f>E241/$B241-1</f>
        <v>2.532749838582395</v>
      </c>
      <c r="P241">
        <f>_xlfn.RANK.EQ(M241,M$2:M$564)</f>
        <v>396</v>
      </c>
      <c r="Q241">
        <f>_xlfn.RANK.EQ(N241,N$2:N$564)</f>
        <v>258</v>
      </c>
      <c r="R241">
        <f>_xlfn.RANK.EQ(O241,O$2:O$564)</f>
        <v>71</v>
      </c>
      <c r="S241">
        <f>SUM(P241:R241)</f>
        <v>725</v>
      </c>
      <c r="T241">
        <f>_xlfn.RANK.EQ(S241,S$2:S$564, 1)</f>
        <v>240</v>
      </c>
    </row>
    <row r="242" spans="1:20" x14ac:dyDescent="0.35">
      <c r="A242" t="s">
        <v>101</v>
      </c>
      <c r="B242">
        <v>276.39</v>
      </c>
      <c r="C242">
        <v>79.94</v>
      </c>
      <c r="D242">
        <v>137.21</v>
      </c>
      <c r="E242">
        <v>669.71</v>
      </c>
      <c r="F242">
        <v>11.99</v>
      </c>
      <c r="G242">
        <v>2</v>
      </c>
      <c r="H242">
        <v>9</v>
      </c>
      <c r="I242">
        <v>15</v>
      </c>
      <c r="J242">
        <v>0</v>
      </c>
      <c r="K242">
        <v>0</v>
      </c>
      <c r="L242">
        <v>2</v>
      </c>
      <c r="M242" s="1">
        <f>C242/$B242-1</f>
        <v>-0.71077101197583126</v>
      </c>
      <c r="N242" s="1">
        <f>D242/$B242-1</f>
        <v>-0.50356380476862395</v>
      </c>
      <c r="O242" s="1">
        <f>E242/$B242-1</f>
        <v>1.4230616158327005</v>
      </c>
      <c r="P242">
        <f>_xlfn.RANK.EQ(M242,M$2:M$564)</f>
        <v>325</v>
      </c>
      <c r="Q242">
        <f>_xlfn.RANK.EQ(N242,N$2:N$564)</f>
        <v>265</v>
      </c>
      <c r="R242">
        <f>_xlfn.RANK.EQ(O242,O$2:O$564)</f>
        <v>136</v>
      </c>
      <c r="S242">
        <f>SUM(P242:R242)</f>
        <v>726</v>
      </c>
      <c r="T242">
        <f>_xlfn.RANK.EQ(S242,S$2:S$564, 1)</f>
        <v>241</v>
      </c>
    </row>
    <row r="243" spans="1:20" x14ac:dyDescent="0.35">
      <c r="A243" t="s">
        <v>441</v>
      </c>
      <c r="B243">
        <v>214.91</v>
      </c>
      <c r="C243">
        <v>107.25</v>
      </c>
      <c r="D243">
        <v>120.38</v>
      </c>
      <c r="E243">
        <v>213.23</v>
      </c>
      <c r="F243">
        <v>10.89</v>
      </c>
      <c r="G243">
        <v>0</v>
      </c>
      <c r="H243">
        <v>1</v>
      </c>
      <c r="I243">
        <v>5</v>
      </c>
      <c r="J243">
        <v>0</v>
      </c>
      <c r="K243">
        <v>0</v>
      </c>
      <c r="L243">
        <v>2</v>
      </c>
      <c r="M243" s="1">
        <f>C243/$B243-1</f>
        <v>-0.50095388767391003</v>
      </c>
      <c r="N243" s="1">
        <f>D243/$B243-1</f>
        <v>-0.43985854543762504</v>
      </c>
      <c r="O243" s="1">
        <f>E243/$B243-1</f>
        <v>-7.8172258154576291E-3</v>
      </c>
      <c r="P243">
        <f>_xlfn.RANK.EQ(M243,M$2:M$564)</f>
        <v>175</v>
      </c>
      <c r="Q243">
        <f>_xlfn.RANK.EQ(N243,N$2:N$564)</f>
        <v>231</v>
      </c>
      <c r="R243">
        <f>_xlfn.RANK.EQ(O243,O$2:O$564)</f>
        <v>320</v>
      </c>
      <c r="S243">
        <f>SUM(P243:R243)</f>
        <v>726</v>
      </c>
      <c r="T243">
        <f>_xlfn.RANK.EQ(S243,S$2:S$564, 1)</f>
        <v>241</v>
      </c>
    </row>
    <row r="244" spans="1:20" x14ac:dyDescent="0.35">
      <c r="A244" t="s">
        <v>383</v>
      </c>
      <c r="B244">
        <v>142.72999999999999</v>
      </c>
      <c r="C244">
        <v>71.81</v>
      </c>
      <c r="D244">
        <v>72.75</v>
      </c>
      <c r="E244">
        <v>159.79</v>
      </c>
      <c r="F244">
        <v>11.92</v>
      </c>
      <c r="G244">
        <v>-3</v>
      </c>
      <c r="H244">
        <v>1</v>
      </c>
      <c r="I244">
        <v>5</v>
      </c>
      <c r="J244">
        <v>0</v>
      </c>
      <c r="K244">
        <v>1</v>
      </c>
      <c r="L244">
        <v>2</v>
      </c>
      <c r="M244" s="1">
        <f>C244/$B244-1</f>
        <v>-0.49688222518041048</v>
      </c>
      <c r="N244" s="1">
        <f>D244/$B244-1</f>
        <v>-0.49029636376374974</v>
      </c>
      <c r="O244" s="1">
        <f>E244/$B244-1</f>
        <v>0.11952637847684433</v>
      </c>
      <c r="P244">
        <f>_xlfn.RANK.EQ(M244,M$2:M$564)</f>
        <v>174</v>
      </c>
      <c r="Q244">
        <f>_xlfn.RANK.EQ(N244,N$2:N$564)</f>
        <v>261</v>
      </c>
      <c r="R244">
        <f>_xlfn.RANK.EQ(O244,O$2:O$564)</f>
        <v>292</v>
      </c>
      <c r="S244">
        <f>SUM(P244:R244)</f>
        <v>727</v>
      </c>
      <c r="T244">
        <f>_xlfn.RANK.EQ(S244,S$2:S$564, 1)</f>
        <v>243</v>
      </c>
    </row>
    <row r="245" spans="1:20" x14ac:dyDescent="0.35">
      <c r="A245" t="s">
        <v>312</v>
      </c>
      <c r="B245">
        <v>236.09</v>
      </c>
      <c r="C245">
        <v>122.46</v>
      </c>
      <c r="D245">
        <v>121.12</v>
      </c>
      <c r="E245">
        <v>245.61</v>
      </c>
      <c r="F245">
        <v>11.86</v>
      </c>
      <c r="G245">
        <v>-3</v>
      </c>
      <c r="H245">
        <v>1</v>
      </c>
      <c r="I245">
        <v>5</v>
      </c>
      <c r="J245">
        <v>0</v>
      </c>
      <c r="K245">
        <v>0</v>
      </c>
      <c r="L245">
        <v>2</v>
      </c>
      <c r="M245" s="1">
        <f>C245/$B245-1</f>
        <v>-0.48129950442627811</v>
      </c>
      <c r="N245" s="1">
        <f>D245/$B245-1</f>
        <v>-0.48697530602736239</v>
      </c>
      <c r="O245" s="1">
        <f>E245/$B245-1</f>
        <v>4.0323605404718688E-2</v>
      </c>
      <c r="P245">
        <f>_xlfn.RANK.EQ(M245,M$2:M$564)</f>
        <v>168</v>
      </c>
      <c r="Q245">
        <f>_xlfn.RANK.EQ(N245,N$2:N$564)</f>
        <v>255</v>
      </c>
      <c r="R245">
        <f>_xlfn.RANK.EQ(O245,O$2:O$564)</f>
        <v>309</v>
      </c>
      <c r="S245">
        <f>SUM(P245:R245)</f>
        <v>732</v>
      </c>
      <c r="T245">
        <f>_xlfn.RANK.EQ(S245,S$2:S$564, 1)</f>
        <v>244</v>
      </c>
    </row>
    <row r="246" spans="1:20" x14ac:dyDescent="0.35">
      <c r="A246" t="s">
        <v>481</v>
      </c>
      <c r="B246">
        <v>93.42</v>
      </c>
      <c r="C246">
        <v>45.35</v>
      </c>
      <c r="D246">
        <v>50.8</v>
      </c>
      <c r="E246">
        <v>94.24</v>
      </c>
      <c r="F246">
        <v>11.29</v>
      </c>
      <c r="G246">
        <v>0</v>
      </c>
      <c r="H246">
        <v>1</v>
      </c>
      <c r="I246">
        <v>5</v>
      </c>
      <c r="J246">
        <v>0</v>
      </c>
      <c r="K246">
        <v>0</v>
      </c>
      <c r="L246">
        <v>2</v>
      </c>
      <c r="M246" s="1">
        <f>C246/$B246-1</f>
        <v>-0.51455791051166777</v>
      </c>
      <c r="N246" s="1">
        <f>D246/$B246-1</f>
        <v>-0.45621922500535217</v>
      </c>
      <c r="O246" s="1">
        <f>E246/$B246-1</f>
        <v>8.7775636908584698E-3</v>
      </c>
      <c r="P246">
        <f>_xlfn.RANK.EQ(M246,M$2:M$564)</f>
        <v>182</v>
      </c>
      <c r="Q246">
        <f>_xlfn.RANK.EQ(N246,N$2:N$564)</f>
        <v>240</v>
      </c>
      <c r="R246">
        <f>_xlfn.RANK.EQ(O246,O$2:O$564)</f>
        <v>315</v>
      </c>
      <c r="S246">
        <f>SUM(P246:R246)</f>
        <v>737</v>
      </c>
      <c r="T246">
        <f>_xlfn.RANK.EQ(S246,S$2:S$564, 1)</f>
        <v>245</v>
      </c>
    </row>
    <row r="247" spans="1:20" x14ac:dyDescent="0.35">
      <c r="A247" t="s">
        <v>402</v>
      </c>
      <c r="B247">
        <v>338.79</v>
      </c>
      <c r="C247">
        <v>152.16</v>
      </c>
      <c r="D247">
        <v>181.95</v>
      </c>
      <c r="E247">
        <v>362.36</v>
      </c>
      <c r="F247">
        <v>11.89</v>
      </c>
      <c r="G247">
        <v>0</v>
      </c>
      <c r="H247">
        <v>2</v>
      </c>
      <c r="I247">
        <v>5</v>
      </c>
      <c r="J247">
        <v>0</v>
      </c>
      <c r="K247">
        <v>0</v>
      </c>
      <c r="L247">
        <v>2</v>
      </c>
      <c r="M247" s="1">
        <f>C247/$B247-1</f>
        <v>-0.5508722217302755</v>
      </c>
      <c r="N247" s="1">
        <f>D247/$B247-1</f>
        <v>-0.46294164526697956</v>
      </c>
      <c r="O247" s="1">
        <f>E247/$B247-1</f>
        <v>6.9571120753268989E-2</v>
      </c>
      <c r="P247">
        <f>_xlfn.RANK.EQ(M247,M$2:M$564)</f>
        <v>195</v>
      </c>
      <c r="Q247">
        <f>_xlfn.RANK.EQ(N247,N$2:N$564)</f>
        <v>244</v>
      </c>
      <c r="R247">
        <f>_xlfn.RANK.EQ(O247,O$2:O$564)</f>
        <v>299</v>
      </c>
      <c r="S247">
        <f>SUM(P247:R247)</f>
        <v>738</v>
      </c>
      <c r="T247">
        <f>_xlfn.RANK.EQ(S247,S$2:S$564, 1)</f>
        <v>246</v>
      </c>
    </row>
    <row r="248" spans="1:20" x14ac:dyDescent="0.35">
      <c r="A248" t="s">
        <v>408</v>
      </c>
      <c r="B248">
        <v>274.72000000000003</v>
      </c>
      <c r="C248">
        <v>135.13</v>
      </c>
      <c r="D248">
        <v>148.96</v>
      </c>
      <c r="E248">
        <v>273.08</v>
      </c>
      <c r="F248">
        <v>11.37</v>
      </c>
      <c r="G248">
        <v>0</v>
      </c>
      <c r="H248">
        <v>1</v>
      </c>
      <c r="I248">
        <v>5</v>
      </c>
      <c r="J248">
        <v>0</v>
      </c>
      <c r="K248">
        <v>0</v>
      </c>
      <c r="L248">
        <v>2</v>
      </c>
      <c r="M248" s="1">
        <f>C248/$B248-1</f>
        <v>-0.50811735585323237</v>
      </c>
      <c r="N248" s="1">
        <f>D248/$B248-1</f>
        <v>-0.45777518928363425</v>
      </c>
      <c r="O248" s="1">
        <f>E248/$B248-1</f>
        <v>-5.969714618520805E-3</v>
      </c>
      <c r="P248">
        <f>_xlfn.RANK.EQ(M248,M$2:M$564)</f>
        <v>179</v>
      </c>
      <c r="Q248">
        <f>_xlfn.RANK.EQ(N248,N$2:N$564)</f>
        <v>242</v>
      </c>
      <c r="R248">
        <f>_xlfn.RANK.EQ(O248,O$2:O$564)</f>
        <v>317</v>
      </c>
      <c r="S248">
        <f>SUM(P248:R248)</f>
        <v>738</v>
      </c>
      <c r="T248">
        <f>_xlfn.RANK.EQ(S248,S$2:S$564, 1)</f>
        <v>246</v>
      </c>
    </row>
    <row r="249" spans="1:20" x14ac:dyDescent="0.35">
      <c r="A249" t="s">
        <v>408</v>
      </c>
      <c r="B249">
        <v>274.72000000000003</v>
      </c>
      <c r="C249">
        <v>135.13</v>
      </c>
      <c r="D249">
        <v>148.96</v>
      </c>
      <c r="E249">
        <v>273.08</v>
      </c>
      <c r="F249">
        <v>11.37</v>
      </c>
      <c r="G249">
        <v>0</v>
      </c>
      <c r="H249">
        <v>1</v>
      </c>
      <c r="I249">
        <v>5</v>
      </c>
      <c r="J249">
        <v>0</v>
      </c>
      <c r="K249">
        <v>0</v>
      </c>
      <c r="L249">
        <v>2</v>
      </c>
      <c r="M249" s="1">
        <f>C249/$B249-1</f>
        <v>-0.50811735585323237</v>
      </c>
      <c r="N249" s="1">
        <f>D249/$B249-1</f>
        <v>-0.45777518928363425</v>
      </c>
      <c r="O249" s="1">
        <f>E249/$B249-1</f>
        <v>-5.969714618520805E-3</v>
      </c>
      <c r="P249">
        <f>_xlfn.RANK.EQ(M249,M$2:M$564)</f>
        <v>179</v>
      </c>
      <c r="Q249">
        <f>_xlfn.RANK.EQ(N249,N$2:N$564)</f>
        <v>242</v>
      </c>
      <c r="R249">
        <f>_xlfn.RANK.EQ(O249,O$2:O$564)</f>
        <v>317</v>
      </c>
      <c r="S249">
        <f>SUM(P249:R249)</f>
        <v>738</v>
      </c>
      <c r="T249">
        <f>_xlfn.RANK.EQ(S249,S$2:S$564, 1)</f>
        <v>246</v>
      </c>
    </row>
    <row r="250" spans="1:20" x14ac:dyDescent="0.35">
      <c r="A250" t="s">
        <v>137</v>
      </c>
      <c r="B250">
        <v>33.19</v>
      </c>
      <c r="C250">
        <v>10.47</v>
      </c>
      <c r="D250">
        <v>14.79</v>
      </c>
      <c r="E250">
        <v>76.02</v>
      </c>
      <c r="F250">
        <v>13.45</v>
      </c>
      <c r="G250">
        <v>0</v>
      </c>
      <c r="H250">
        <v>1</v>
      </c>
      <c r="I250">
        <v>5</v>
      </c>
      <c r="J250">
        <v>0</v>
      </c>
      <c r="K250">
        <v>0</v>
      </c>
      <c r="L250">
        <v>2</v>
      </c>
      <c r="M250" s="1">
        <f>C250/$B250-1</f>
        <v>-0.68454353721000305</v>
      </c>
      <c r="N250" s="1">
        <f>D250/$B250-1</f>
        <v>-0.55438385055739681</v>
      </c>
      <c r="O250" s="1">
        <f>E250/$B250-1</f>
        <v>1.2904489304007232</v>
      </c>
      <c r="P250">
        <f>_xlfn.RANK.EQ(M250,M$2:M$564)</f>
        <v>303</v>
      </c>
      <c r="Q250">
        <f>_xlfn.RANK.EQ(N250,N$2:N$564)</f>
        <v>291</v>
      </c>
      <c r="R250">
        <f>_xlfn.RANK.EQ(O250,O$2:O$564)</f>
        <v>145</v>
      </c>
      <c r="S250">
        <f>SUM(P250:R250)</f>
        <v>739</v>
      </c>
      <c r="T250">
        <f>_xlfn.RANK.EQ(S250,S$2:S$564, 1)</f>
        <v>249</v>
      </c>
    </row>
    <row r="251" spans="1:20" x14ac:dyDescent="0.35">
      <c r="A251" t="s">
        <v>250</v>
      </c>
      <c r="B251">
        <v>90.8</v>
      </c>
      <c r="C251">
        <v>47.5</v>
      </c>
      <c r="D251">
        <v>52.55</v>
      </c>
      <c r="E251">
        <v>83.01</v>
      </c>
      <c r="F251">
        <v>10.59</v>
      </c>
      <c r="G251">
        <v>0</v>
      </c>
      <c r="H251">
        <v>1</v>
      </c>
      <c r="I251">
        <v>5</v>
      </c>
      <c r="J251">
        <v>0</v>
      </c>
      <c r="K251">
        <v>1</v>
      </c>
      <c r="L251">
        <v>2</v>
      </c>
      <c r="M251" s="1">
        <f>C251/$B251-1</f>
        <v>-0.47687224669603523</v>
      </c>
      <c r="N251" s="1">
        <f>D251/$B251-1</f>
        <v>-0.42125550660792954</v>
      </c>
      <c r="O251" s="1">
        <f>E251/$B251-1</f>
        <v>-8.5792951541850182E-2</v>
      </c>
      <c r="P251">
        <f>_xlfn.RANK.EQ(M251,M$2:M$564)</f>
        <v>166</v>
      </c>
      <c r="Q251">
        <f>_xlfn.RANK.EQ(N251,N$2:N$564)</f>
        <v>223</v>
      </c>
      <c r="R251">
        <f>_xlfn.RANK.EQ(O251,O$2:O$564)</f>
        <v>350</v>
      </c>
      <c r="S251">
        <f>SUM(P251:R251)</f>
        <v>739</v>
      </c>
      <c r="T251">
        <f>_xlfn.RANK.EQ(S251,S$2:S$564, 1)</f>
        <v>249</v>
      </c>
    </row>
    <row r="252" spans="1:20" x14ac:dyDescent="0.35">
      <c r="A252" t="s">
        <v>403</v>
      </c>
      <c r="B252">
        <v>234.21</v>
      </c>
      <c r="C252">
        <v>93.87</v>
      </c>
      <c r="D252">
        <v>127.63</v>
      </c>
      <c r="E252">
        <v>273.97000000000003</v>
      </c>
      <c r="F252">
        <v>10.9</v>
      </c>
      <c r="G252">
        <v>1</v>
      </c>
      <c r="H252">
        <v>4</v>
      </c>
      <c r="I252">
        <v>7</v>
      </c>
      <c r="J252">
        <v>0</v>
      </c>
      <c r="K252">
        <v>1</v>
      </c>
      <c r="L252">
        <v>2</v>
      </c>
      <c r="M252" s="1">
        <f>C252/$B252-1</f>
        <v>-0.59920584091200202</v>
      </c>
      <c r="N252" s="1">
        <f>D252/$B252-1</f>
        <v>-0.4550616967678579</v>
      </c>
      <c r="O252" s="1">
        <f>E252/$B252-1</f>
        <v>0.16976217924085235</v>
      </c>
      <c r="P252">
        <f>_xlfn.RANK.EQ(M252,M$2:M$564)</f>
        <v>225</v>
      </c>
      <c r="Q252">
        <f>_xlfn.RANK.EQ(N252,N$2:N$564)</f>
        <v>236</v>
      </c>
      <c r="R252">
        <f>_xlfn.RANK.EQ(O252,O$2:O$564)</f>
        <v>283</v>
      </c>
      <c r="S252">
        <f>SUM(P252:R252)</f>
        <v>744</v>
      </c>
      <c r="T252">
        <f>_xlfn.RANK.EQ(S252,S$2:S$564, 1)</f>
        <v>251</v>
      </c>
    </row>
    <row r="253" spans="1:20" x14ac:dyDescent="0.35">
      <c r="A253" t="s">
        <v>90</v>
      </c>
      <c r="B253">
        <v>143.53</v>
      </c>
      <c r="C253">
        <v>68.760000000000005</v>
      </c>
      <c r="D253">
        <v>76.98</v>
      </c>
      <c r="E253">
        <v>147.59</v>
      </c>
      <c r="F253">
        <v>11.39</v>
      </c>
      <c r="G253">
        <v>0</v>
      </c>
      <c r="H253">
        <v>1</v>
      </c>
      <c r="I253">
        <v>5</v>
      </c>
      <c r="J253">
        <v>0</v>
      </c>
      <c r="K253">
        <v>1</v>
      </c>
      <c r="L253">
        <v>2</v>
      </c>
      <c r="M253" s="1">
        <f>C253/$B253-1</f>
        <v>-0.52093638960496058</v>
      </c>
      <c r="N253" s="1">
        <f>D253/$B253-1</f>
        <v>-0.46366613251585032</v>
      </c>
      <c r="O253" s="1">
        <f>E253/$B253-1</f>
        <v>2.8286769316519189E-2</v>
      </c>
      <c r="P253">
        <f>_xlfn.RANK.EQ(M253,M$2:M$564)</f>
        <v>185</v>
      </c>
      <c r="Q253">
        <f>_xlfn.RANK.EQ(N253,N$2:N$564)</f>
        <v>246</v>
      </c>
      <c r="R253">
        <f>_xlfn.RANK.EQ(O253,O$2:O$564)</f>
        <v>313</v>
      </c>
      <c r="S253">
        <f>SUM(P253:R253)</f>
        <v>744</v>
      </c>
      <c r="T253">
        <f>_xlfn.RANK.EQ(S253,S$2:S$564, 1)</f>
        <v>251</v>
      </c>
    </row>
    <row r="254" spans="1:20" x14ac:dyDescent="0.35">
      <c r="A254" t="s">
        <v>191</v>
      </c>
      <c r="B254">
        <v>471.31</v>
      </c>
      <c r="C254">
        <v>199.65</v>
      </c>
      <c r="D254">
        <v>252.94</v>
      </c>
      <c r="E254">
        <v>535.9</v>
      </c>
      <c r="F254">
        <v>11.33</v>
      </c>
      <c r="G254">
        <v>1</v>
      </c>
      <c r="H254">
        <v>2</v>
      </c>
      <c r="I254">
        <v>5</v>
      </c>
      <c r="J254">
        <v>0</v>
      </c>
      <c r="K254">
        <v>1</v>
      </c>
      <c r="L254">
        <v>2</v>
      </c>
      <c r="M254" s="1">
        <f>C254/$B254-1</f>
        <v>-0.5763934565360378</v>
      </c>
      <c r="N254" s="1">
        <f>D254/$B254-1</f>
        <v>-0.46332562432369351</v>
      </c>
      <c r="O254" s="1">
        <f>E254/$B254-1</f>
        <v>0.13704355944070779</v>
      </c>
      <c r="P254">
        <f>_xlfn.RANK.EQ(M254,M$2:M$564)</f>
        <v>211</v>
      </c>
      <c r="Q254">
        <f>_xlfn.RANK.EQ(N254,N$2:N$564)</f>
        <v>245</v>
      </c>
      <c r="R254">
        <f>_xlfn.RANK.EQ(O254,O$2:O$564)</f>
        <v>289</v>
      </c>
      <c r="S254">
        <f>SUM(P254:R254)</f>
        <v>745</v>
      </c>
      <c r="T254">
        <f>_xlfn.RANK.EQ(S254,S$2:S$564, 1)</f>
        <v>253</v>
      </c>
    </row>
    <row r="255" spans="1:20" x14ac:dyDescent="0.35">
      <c r="A255" t="s">
        <v>283</v>
      </c>
      <c r="B255">
        <v>22.98</v>
      </c>
      <c r="C255">
        <v>10.1</v>
      </c>
      <c r="D255">
        <v>10.88</v>
      </c>
      <c r="E255">
        <v>27.32</v>
      </c>
      <c r="F255">
        <v>12.69</v>
      </c>
      <c r="G255">
        <v>-2</v>
      </c>
      <c r="H255">
        <v>1</v>
      </c>
      <c r="I255">
        <v>5</v>
      </c>
      <c r="J255">
        <v>0</v>
      </c>
      <c r="K255">
        <v>0</v>
      </c>
      <c r="L255">
        <v>2</v>
      </c>
      <c r="M255" s="1">
        <f>C255/$B255-1</f>
        <v>-0.56048738033072243</v>
      </c>
      <c r="N255" s="1">
        <f>D255/$B255-1</f>
        <v>-0.52654482158398608</v>
      </c>
      <c r="O255" s="1">
        <f>E255/$B255-1</f>
        <v>0.18885987815491734</v>
      </c>
      <c r="P255">
        <f>_xlfn.RANK.EQ(M255,M$2:M$564)</f>
        <v>200</v>
      </c>
      <c r="Q255">
        <f>_xlfn.RANK.EQ(N255,N$2:N$564)</f>
        <v>273</v>
      </c>
      <c r="R255">
        <f>_xlfn.RANK.EQ(O255,O$2:O$564)</f>
        <v>279</v>
      </c>
      <c r="S255">
        <f>SUM(P255:R255)</f>
        <v>752</v>
      </c>
      <c r="T255">
        <f>_xlfn.RANK.EQ(S255,S$2:S$564, 1)</f>
        <v>254</v>
      </c>
    </row>
    <row r="256" spans="1:20" x14ac:dyDescent="0.35">
      <c r="A256" t="s">
        <v>500</v>
      </c>
      <c r="B256">
        <v>1004.06</v>
      </c>
      <c r="C256">
        <v>455.43</v>
      </c>
      <c r="D256">
        <v>564.66999999999996</v>
      </c>
      <c r="E256">
        <v>973.9</v>
      </c>
      <c r="F256">
        <v>10.08</v>
      </c>
      <c r="G256">
        <v>0</v>
      </c>
      <c r="H256">
        <v>2</v>
      </c>
      <c r="I256">
        <v>5</v>
      </c>
      <c r="J256">
        <v>0</v>
      </c>
      <c r="K256">
        <v>1</v>
      </c>
      <c r="L256">
        <v>2</v>
      </c>
      <c r="M256" s="1">
        <f>C256/$B256-1</f>
        <v>-0.54641156902973931</v>
      </c>
      <c r="N256" s="1">
        <f>D256/$B256-1</f>
        <v>-0.43761329004242777</v>
      </c>
      <c r="O256" s="1">
        <f>E256/$B256-1</f>
        <v>-3.0038045535127345E-2</v>
      </c>
      <c r="P256">
        <f>_xlfn.RANK.EQ(M256,M$2:M$564)</f>
        <v>194</v>
      </c>
      <c r="Q256">
        <f>_xlfn.RANK.EQ(N256,N$2:N$564)</f>
        <v>228</v>
      </c>
      <c r="R256">
        <f>_xlfn.RANK.EQ(O256,O$2:O$564)</f>
        <v>330</v>
      </c>
      <c r="S256">
        <f>SUM(P256:R256)</f>
        <v>752</v>
      </c>
      <c r="T256">
        <f>_xlfn.RANK.EQ(S256,S$2:S$564, 1)</f>
        <v>254</v>
      </c>
    </row>
    <row r="257" spans="1:20" x14ac:dyDescent="0.35">
      <c r="A257" t="s">
        <v>444</v>
      </c>
      <c r="B257">
        <v>202.93</v>
      </c>
      <c r="C257">
        <v>80.989999999999995</v>
      </c>
      <c r="D257">
        <v>108.07</v>
      </c>
      <c r="E257">
        <v>239.04</v>
      </c>
      <c r="F257">
        <v>11.46</v>
      </c>
      <c r="G257">
        <v>1</v>
      </c>
      <c r="H257">
        <v>3</v>
      </c>
      <c r="I257">
        <v>6</v>
      </c>
      <c r="J257">
        <v>0</v>
      </c>
      <c r="K257">
        <v>0</v>
      </c>
      <c r="L257">
        <v>2</v>
      </c>
      <c r="M257" s="1">
        <f>C257/$B257-1</f>
        <v>-0.60089686098654704</v>
      </c>
      <c r="N257" s="1">
        <f>D257/$B257-1</f>
        <v>-0.46745183068053031</v>
      </c>
      <c r="O257" s="1">
        <f>E257/$B257-1</f>
        <v>0.17794313310008358</v>
      </c>
      <c r="P257">
        <f>_xlfn.RANK.EQ(M257,M$2:M$564)</f>
        <v>229</v>
      </c>
      <c r="Q257">
        <f>_xlfn.RANK.EQ(N257,N$2:N$564)</f>
        <v>247</v>
      </c>
      <c r="R257">
        <f>_xlfn.RANK.EQ(O257,O$2:O$564)</f>
        <v>281</v>
      </c>
      <c r="S257">
        <f>SUM(P257:R257)</f>
        <v>757</v>
      </c>
      <c r="T257">
        <f>_xlfn.RANK.EQ(S257,S$2:S$564, 1)</f>
        <v>256</v>
      </c>
    </row>
    <row r="258" spans="1:20" x14ac:dyDescent="0.35">
      <c r="A258" t="s">
        <v>547</v>
      </c>
      <c r="B258">
        <v>212.61</v>
      </c>
      <c r="C258">
        <v>86.96</v>
      </c>
      <c r="D258">
        <v>115.7</v>
      </c>
      <c r="E258">
        <v>226.05</v>
      </c>
      <c r="F258">
        <v>10.71</v>
      </c>
      <c r="G258">
        <v>1</v>
      </c>
      <c r="H258">
        <v>3</v>
      </c>
      <c r="I258">
        <v>5</v>
      </c>
      <c r="J258">
        <v>0</v>
      </c>
      <c r="K258">
        <v>1</v>
      </c>
      <c r="L258">
        <v>2</v>
      </c>
      <c r="M258" s="1">
        <f>C258/$B258-1</f>
        <v>-0.590988194346456</v>
      </c>
      <c r="N258" s="1">
        <f>D258/$B258-1</f>
        <v>-0.45581110954329529</v>
      </c>
      <c r="O258" s="1">
        <f>E258/$B258-1</f>
        <v>6.3214336108367464E-2</v>
      </c>
      <c r="P258">
        <f>_xlfn.RANK.EQ(M258,M$2:M$564)</f>
        <v>217</v>
      </c>
      <c r="Q258">
        <f>_xlfn.RANK.EQ(N258,N$2:N$564)</f>
        <v>239</v>
      </c>
      <c r="R258">
        <f>_xlfn.RANK.EQ(O258,O$2:O$564)</f>
        <v>302</v>
      </c>
      <c r="S258">
        <f>SUM(P258:R258)</f>
        <v>758</v>
      </c>
      <c r="T258">
        <f>_xlfn.RANK.EQ(S258,S$2:S$564, 1)</f>
        <v>257</v>
      </c>
    </row>
    <row r="259" spans="1:20" x14ac:dyDescent="0.35">
      <c r="A259" t="s">
        <v>514</v>
      </c>
      <c r="B259">
        <v>270.14</v>
      </c>
      <c r="C259">
        <v>101.73</v>
      </c>
      <c r="D259">
        <v>147.02000000000001</v>
      </c>
      <c r="E259">
        <v>323.81</v>
      </c>
      <c r="F259">
        <v>10.29</v>
      </c>
      <c r="G259">
        <v>1</v>
      </c>
      <c r="H259">
        <v>4</v>
      </c>
      <c r="I259">
        <v>8</v>
      </c>
      <c r="J259">
        <v>0</v>
      </c>
      <c r="K259">
        <v>1</v>
      </c>
      <c r="L259">
        <v>2</v>
      </c>
      <c r="M259" s="1">
        <f>C259/$B259-1</f>
        <v>-0.62341748722884427</v>
      </c>
      <c r="N259" s="1">
        <f>D259/$B259-1</f>
        <v>-0.45576367809284068</v>
      </c>
      <c r="O259" s="1">
        <f>E259/$B259-1</f>
        <v>0.19867476123491534</v>
      </c>
      <c r="P259">
        <f>_xlfn.RANK.EQ(M259,M$2:M$564)</f>
        <v>248</v>
      </c>
      <c r="Q259">
        <f>_xlfn.RANK.EQ(N259,N$2:N$564)</f>
        <v>238</v>
      </c>
      <c r="R259">
        <f>_xlfn.RANK.EQ(O259,O$2:O$564)</f>
        <v>276</v>
      </c>
      <c r="S259">
        <f>SUM(P259:R259)</f>
        <v>762</v>
      </c>
      <c r="T259">
        <f>_xlfn.RANK.EQ(S259,S$2:S$564, 1)</f>
        <v>258</v>
      </c>
    </row>
    <row r="260" spans="1:20" x14ac:dyDescent="0.35">
      <c r="A260" t="s">
        <v>293</v>
      </c>
      <c r="B260">
        <v>55.13</v>
      </c>
      <c r="C260">
        <v>20.39</v>
      </c>
      <c r="D260">
        <v>24.7</v>
      </c>
      <c r="E260">
        <v>81.3</v>
      </c>
      <c r="F260">
        <v>13.4</v>
      </c>
      <c r="G260">
        <v>0</v>
      </c>
      <c r="H260">
        <v>1</v>
      </c>
      <c r="I260">
        <v>5</v>
      </c>
      <c r="J260">
        <v>0</v>
      </c>
      <c r="K260">
        <v>0</v>
      </c>
      <c r="L260">
        <v>2</v>
      </c>
      <c r="M260" s="1">
        <f>C260/$B260-1</f>
        <v>-0.63014692544893891</v>
      </c>
      <c r="N260" s="1">
        <f>D260/$B260-1</f>
        <v>-0.5519680754580083</v>
      </c>
      <c r="O260" s="1">
        <f>E260/$B260-1</f>
        <v>0.47469617268274966</v>
      </c>
      <c r="P260">
        <f>_xlfn.RANK.EQ(M260,M$2:M$564)</f>
        <v>257</v>
      </c>
      <c r="Q260">
        <f>_xlfn.RANK.EQ(N260,N$2:N$564)</f>
        <v>287</v>
      </c>
      <c r="R260">
        <f>_xlfn.RANK.EQ(O260,O$2:O$564)</f>
        <v>221</v>
      </c>
      <c r="S260">
        <f>SUM(P260:R260)</f>
        <v>765</v>
      </c>
      <c r="T260">
        <f>_xlfn.RANK.EQ(S260,S$2:S$564, 1)</f>
        <v>259</v>
      </c>
    </row>
    <row r="261" spans="1:20" x14ac:dyDescent="0.35">
      <c r="A261" t="s">
        <v>416</v>
      </c>
      <c r="B261">
        <v>29.21</v>
      </c>
      <c r="C261">
        <v>14.09</v>
      </c>
      <c r="D261">
        <v>15.37</v>
      </c>
      <c r="E261">
        <v>28.15</v>
      </c>
      <c r="F261">
        <v>11.56</v>
      </c>
      <c r="G261">
        <v>0</v>
      </c>
      <c r="H261">
        <v>1</v>
      </c>
      <c r="I261">
        <v>5</v>
      </c>
      <c r="J261">
        <v>0</v>
      </c>
      <c r="K261">
        <v>1</v>
      </c>
      <c r="L261">
        <v>2</v>
      </c>
      <c r="M261" s="1">
        <f>C261/$B261-1</f>
        <v>-0.51763094830537493</v>
      </c>
      <c r="N261" s="1">
        <f>D261/$B261-1</f>
        <v>-0.47381033892502566</v>
      </c>
      <c r="O261" s="1">
        <f>E261/$B261-1</f>
        <v>-3.6288942143101743E-2</v>
      </c>
      <c r="P261">
        <f>_xlfn.RANK.EQ(M261,M$2:M$564)</f>
        <v>183</v>
      </c>
      <c r="Q261">
        <f>_xlfn.RANK.EQ(N261,N$2:N$564)</f>
        <v>251</v>
      </c>
      <c r="R261">
        <f>_xlfn.RANK.EQ(O261,O$2:O$564)</f>
        <v>333</v>
      </c>
      <c r="S261">
        <f>SUM(P261:R261)</f>
        <v>767</v>
      </c>
      <c r="T261">
        <f>_xlfn.RANK.EQ(S261,S$2:S$564, 1)</f>
        <v>260</v>
      </c>
    </row>
    <row r="262" spans="1:20" x14ac:dyDescent="0.35">
      <c r="A262" t="s">
        <v>239</v>
      </c>
      <c r="B262">
        <v>15.1</v>
      </c>
      <c r="C262">
        <v>5.72</v>
      </c>
      <c r="D262">
        <v>7.47</v>
      </c>
      <c r="E262">
        <v>19.7</v>
      </c>
      <c r="F262">
        <v>12.81</v>
      </c>
      <c r="G262">
        <v>1</v>
      </c>
      <c r="H262">
        <v>3</v>
      </c>
      <c r="I262">
        <v>6</v>
      </c>
      <c r="J262">
        <v>0</v>
      </c>
      <c r="K262">
        <v>0</v>
      </c>
      <c r="L262">
        <v>2</v>
      </c>
      <c r="M262" s="1">
        <f>C262/$B262-1</f>
        <v>-0.62119205298013247</v>
      </c>
      <c r="N262" s="1">
        <f>D262/$B262-1</f>
        <v>-0.5052980132450331</v>
      </c>
      <c r="O262" s="1">
        <f>E262/$B262-1</f>
        <v>0.30463576158940397</v>
      </c>
      <c r="P262">
        <f>_xlfn.RANK.EQ(M262,M$2:M$564)</f>
        <v>244</v>
      </c>
      <c r="Q262">
        <f>_xlfn.RANK.EQ(N262,N$2:N$564)</f>
        <v>267</v>
      </c>
      <c r="R262">
        <f>_xlfn.RANK.EQ(O262,O$2:O$564)</f>
        <v>257</v>
      </c>
      <c r="S262">
        <f>SUM(P262:R262)</f>
        <v>768</v>
      </c>
      <c r="T262">
        <f>_xlfn.RANK.EQ(S262,S$2:S$564, 1)</f>
        <v>261</v>
      </c>
    </row>
    <row r="263" spans="1:20" x14ac:dyDescent="0.35">
      <c r="A263" t="s">
        <v>353</v>
      </c>
      <c r="B263">
        <v>285.52</v>
      </c>
      <c r="C263">
        <v>94.03</v>
      </c>
      <c r="D263">
        <v>150.63999999999999</v>
      </c>
      <c r="E263">
        <v>397.5</v>
      </c>
      <c r="F263">
        <v>5.25</v>
      </c>
      <c r="G263">
        <v>0</v>
      </c>
      <c r="H263">
        <v>2</v>
      </c>
      <c r="I263">
        <v>5</v>
      </c>
      <c r="J263">
        <v>1</v>
      </c>
      <c r="K263">
        <v>5</v>
      </c>
      <c r="L263">
        <v>9</v>
      </c>
      <c r="M263" s="1">
        <f>C263/$B263-1</f>
        <v>-0.67067105631829649</v>
      </c>
      <c r="N263" s="1">
        <f>D263/$B263-1</f>
        <v>-0.47240123283833013</v>
      </c>
      <c r="O263" s="1">
        <f>E263/$B263-1</f>
        <v>0.39219669375175137</v>
      </c>
      <c r="P263">
        <f>_xlfn.RANK.EQ(M263,M$2:M$564)</f>
        <v>285</v>
      </c>
      <c r="Q263">
        <f>_xlfn.RANK.EQ(N263,N$2:N$564)</f>
        <v>250</v>
      </c>
      <c r="R263">
        <f>_xlfn.RANK.EQ(O263,O$2:O$564)</f>
        <v>239</v>
      </c>
      <c r="S263">
        <f>SUM(P263:R263)</f>
        <v>774</v>
      </c>
      <c r="T263">
        <f>_xlfn.RANK.EQ(S263,S$2:S$564, 1)</f>
        <v>262</v>
      </c>
    </row>
    <row r="264" spans="1:20" x14ac:dyDescent="0.35">
      <c r="A264" t="s">
        <v>242</v>
      </c>
      <c r="B264">
        <v>400.77</v>
      </c>
      <c r="C264">
        <v>128.61000000000001</v>
      </c>
      <c r="D264">
        <v>204.32</v>
      </c>
      <c r="E264">
        <v>574.92999999999995</v>
      </c>
      <c r="F264">
        <v>10.53</v>
      </c>
      <c r="G264">
        <v>1</v>
      </c>
      <c r="H264">
        <v>6</v>
      </c>
      <c r="I264">
        <v>10</v>
      </c>
      <c r="J264">
        <v>0</v>
      </c>
      <c r="K264">
        <v>1</v>
      </c>
      <c r="L264">
        <v>2</v>
      </c>
      <c r="M264" s="1">
        <f>C264/$B264-1</f>
        <v>-0.67909274646305851</v>
      </c>
      <c r="N264" s="1">
        <f>D264/$B264-1</f>
        <v>-0.49018140080345329</v>
      </c>
      <c r="O264" s="1">
        <f>E264/$B264-1</f>
        <v>0.43456346532924117</v>
      </c>
      <c r="P264">
        <f>_xlfn.RANK.EQ(M264,M$2:M$564)</f>
        <v>297</v>
      </c>
      <c r="Q264">
        <f>_xlfn.RANK.EQ(N264,N$2:N$564)</f>
        <v>259</v>
      </c>
      <c r="R264">
        <f>_xlfn.RANK.EQ(O264,O$2:O$564)</f>
        <v>230</v>
      </c>
      <c r="S264">
        <f>SUM(P264:R264)</f>
        <v>786</v>
      </c>
      <c r="T264">
        <f>_xlfn.RANK.EQ(S264,S$2:S$564, 1)</f>
        <v>263</v>
      </c>
    </row>
    <row r="265" spans="1:20" x14ac:dyDescent="0.35">
      <c r="A265" t="s">
        <v>242</v>
      </c>
      <c r="B265">
        <v>400.77</v>
      </c>
      <c r="C265">
        <v>128.61000000000001</v>
      </c>
      <c r="D265">
        <v>204.32</v>
      </c>
      <c r="E265">
        <v>574.92999999999995</v>
      </c>
      <c r="F265">
        <v>10.53</v>
      </c>
      <c r="G265">
        <v>1</v>
      </c>
      <c r="H265">
        <v>6</v>
      </c>
      <c r="I265">
        <v>10</v>
      </c>
      <c r="J265">
        <v>0</v>
      </c>
      <c r="K265">
        <v>1</v>
      </c>
      <c r="L265">
        <v>2</v>
      </c>
      <c r="M265" s="1">
        <f>C265/$B265-1</f>
        <v>-0.67909274646305851</v>
      </c>
      <c r="N265" s="1">
        <f>D265/$B265-1</f>
        <v>-0.49018140080345329</v>
      </c>
      <c r="O265" s="1">
        <f>E265/$B265-1</f>
        <v>0.43456346532924117</v>
      </c>
      <c r="P265">
        <f>_xlfn.RANK.EQ(M265,M$2:M$564)</f>
        <v>297</v>
      </c>
      <c r="Q265">
        <f>_xlfn.RANK.EQ(N265,N$2:N$564)</f>
        <v>259</v>
      </c>
      <c r="R265">
        <f>_xlfn.RANK.EQ(O265,O$2:O$564)</f>
        <v>230</v>
      </c>
      <c r="S265">
        <f>SUM(P265:R265)</f>
        <v>786</v>
      </c>
      <c r="T265">
        <f>_xlfn.RANK.EQ(S265,S$2:S$564, 1)</f>
        <v>263</v>
      </c>
    </row>
    <row r="266" spans="1:20" x14ac:dyDescent="0.35">
      <c r="A266" t="s">
        <v>106</v>
      </c>
      <c r="B266">
        <v>211.46</v>
      </c>
      <c r="C266">
        <v>90.45</v>
      </c>
      <c r="D266">
        <v>108.41</v>
      </c>
      <c r="E266">
        <v>208.39</v>
      </c>
      <c r="F266">
        <v>11.63</v>
      </c>
      <c r="G266">
        <v>1</v>
      </c>
      <c r="H266">
        <v>2</v>
      </c>
      <c r="I266">
        <v>5</v>
      </c>
      <c r="J266">
        <v>0</v>
      </c>
      <c r="K266">
        <v>0</v>
      </c>
      <c r="L266">
        <v>2</v>
      </c>
      <c r="M266" s="1">
        <f>C266/$B266-1</f>
        <v>-0.57225952898893406</v>
      </c>
      <c r="N266" s="1">
        <f>D266/$B266-1</f>
        <v>-0.48732620826633888</v>
      </c>
      <c r="O266" s="1">
        <f>E266/$B266-1</f>
        <v>-1.4518112172514974E-2</v>
      </c>
      <c r="P266">
        <f>_xlfn.RANK.EQ(M266,M$2:M$564)</f>
        <v>206</v>
      </c>
      <c r="Q266">
        <f>_xlfn.RANK.EQ(N266,N$2:N$564)</f>
        <v>256</v>
      </c>
      <c r="R266">
        <f>_xlfn.RANK.EQ(O266,O$2:O$564)</f>
        <v>324</v>
      </c>
      <c r="S266">
        <f>SUM(P266:R266)</f>
        <v>786</v>
      </c>
      <c r="T266">
        <f>_xlfn.RANK.EQ(S266,S$2:S$564, 1)</f>
        <v>263</v>
      </c>
    </row>
    <row r="267" spans="1:20" x14ac:dyDescent="0.35">
      <c r="A267" t="s">
        <v>106</v>
      </c>
      <c r="B267">
        <v>211.46</v>
      </c>
      <c r="C267">
        <v>90.45</v>
      </c>
      <c r="D267">
        <v>108.41</v>
      </c>
      <c r="E267">
        <v>208.39</v>
      </c>
      <c r="F267">
        <v>11.63</v>
      </c>
      <c r="G267">
        <v>1</v>
      </c>
      <c r="H267">
        <v>2</v>
      </c>
      <c r="I267">
        <v>5</v>
      </c>
      <c r="J267">
        <v>0</v>
      </c>
      <c r="K267">
        <v>0</v>
      </c>
      <c r="L267">
        <v>2</v>
      </c>
      <c r="M267" s="1">
        <f>C267/$B267-1</f>
        <v>-0.57225952898893406</v>
      </c>
      <c r="N267" s="1">
        <f>D267/$B267-1</f>
        <v>-0.48732620826633888</v>
      </c>
      <c r="O267" s="1">
        <f>E267/$B267-1</f>
        <v>-1.4518112172514974E-2</v>
      </c>
      <c r="P267">
        <f>_xlfn.RANK.EQ(M267,M$2:M$564)</f>
        <v>206</v>
      </c>
      <c r="Q267">
        <f>_xlfn.RANK.EQ(N267,N$2:N$564)</f>
        <v>256</v>
      </c>
      <c r="R267">
        <f>_xlfn.RANK.EQ(O267,O$2:O$564)</f>
        <v>324</v>
      </c>
      <c r="S267">
        <f>SUM(P267:R267)</f>
        <v>786</v>
      </c>
      <c r="T267">
        <f>_xlfn.RANK.EQ(S267,S$2:S$564, 1)</f>
        <v>263</v>
      </c>
    </row>
    <row r="268" spans="1:20" x14ac:dyDescent="0.35">
      <c r="A268" t="s">
        <v>243</v>
      </c>
      <c r="B268">
        <v>46.2</v>
      </c>
      <c r="C268">
        <v>18.62</v>
      </c>
      <c r="D268">
        <v>22.95</v>
      </c>
      <c r="E268">
        <v>48.6</v>
      </c>
      <c r="F268">
        <v>12.24</v>
      </c>
      <c r="G268">
        <v>1</v>
      </c>
      <c r="H268">
        <v>3</v>
      </c>
      <c r="I268">
        <v>5</v>
      </c>
      <c r="J268">
        <v>0</v>
      </c>
      <c r="K268">
        <v>1</v>
      </c>
      <c r="L268">
        <v>2</v>
      </c>
      <c r="M268" s="1">
        <f>C268/$B268-1</f>
        <v>-0.59696969696969693</v>
      </c>
      <c r="N268" s="1">
        <f>D268/$B268-1</f>
        <v>-0.50324675324675328</v>
      </c>
      <c r="O268" s="1">
        <f>E268/$B268-1</f>
        <v>5.1948051948051965E-2</v>
      </c>
      <c r="P268">
        <f>_xlfn.RANK.EQ(M268,M$2:M$564)</f>
        <v>221</v>
      </c>
      <c r="Q268">
        <f>_xlfn.RANK.EQ(N268,N$2:N$564)</f>
        <v>264</v>
      </c>
      <c r="R268">
        <f>_xlfn.RANK.EQ(O268,O$2:O$564)</f>
        <v>306</v>
      </c>
      <c r="S268">
        <f>SUM(P268:R268)</f>
        <v>791</v>
      </c>
      <c r="T268">
        <f>_xlfn.RANK.EQ(S268,S$2:S$564, 1)</f>
        <v>267</v>
      </c>
    </row>
    <row r="269" spans="1:20" x14ac:dyDescent="0.35">
      <c r="A269" t="s">
        <v>64</v>
      </c>
      <c r="B269">
        <v>339.43</v>
      </c>
      <c r="C269">
        <v>110.51</v>
      </c>
      <c r="D269">
        <v>191.21</v>
      </c>
      <c r="E269">
        <v>407.2</v>
      </c>
      <c r="F269">
        <v>8.52</v>
      </c>
      <c r="G269">
        <v>1</v>
      </c>
      <c r="H269">
        <v>4</v>
      </c>
      <c r="I269">
        <v>8</v>
      </c>
      <c r="J269">
        <v>0</v>
      </c>
      <c r="K269">
        <v>1</v>
      </c>
      <c r="L269">
        <v>2</v>
      </c>
      <c r="M269" s="1">
        <f>C269/$B269-1</f>
        <v>-0.67442477093951625</v>
      </c>
      <c r="N269" s="1">
        <f>D269/$B269-1</f>
        <v>-0.43667324632472082</v>
      </c>
      <c r="O269" s="1">
        <f>E269/$B269-1</f>
        <v>0.19965825059658826</v>
      </c>
      <c r="P269">
        <f>_xlfn.RANK.EQ(M269,M$2:M$564)</f>
        <v>291</v>
      </c>
      <c r="Q269">
        <f>_xlfn.RANK.EQ(N269,N$2:N$564)</f>
        <v>227</v>
      </c>
      <c r="R269">
        <f>_xlfn.RANK.EQ(O269,O$2:O$564)</f>
        <v>275</v>
      </c>
      <c r="S269">
        <f>SUM(P269:R269)</f>
        <v>793</v>
      </c>
      <c r="T269">
        <f>_xlfn.RANK.EQ(S269,S$2:S$564, 1)</f>
        <v>268</v>
      </c>
    </row>
    <row r="270" spans="1:20" x14ac:dyDescent="0.35">
      <c r="A270" t="s">
        <v>71</v>
      </c>
      <c r="B270">
        <v>178.06</v>
      </c>
      <c r="C270">
        <v>79.319999999999993</v>
      </c>
      <c r="D270">
        <v>94.78</v>
      </c>
      <c r="E270">
        <v>163.52000000000001</v>
      </c>
      <c r="F270">
        <v>10.62</v>
      </c>
      <c r="G270">
        <v>0</v>
      </c>
      <c r="H270">
        <v>2</v>
      </c>
      <c r="I270">
        <v>5</v>
      </c>
      <c r="J270">
        <v>0</v>
      </c>
      <c r="K270">
        <v>1</v>
      </c>
      <c r="L270">
        <v>2</v>
      </c>
      <c r="M270" s="1">
        <f>C270/$B270-1</f>
        <v>-0.55453218016398975</v>
      </c>
      <c r="N270" s="1">
        <f>D270/$B270-1</f>
        <v>-0.46770751432101543</v>
      </c>
      <c r="O270" s="1">
        <f>E270/$B270-1</f>
        <v>-8.1657868134336731E-2</v>
      </c>
      <c r="P270">
        <f>_xlfn.RANK.EQ(M270,M$2:M$564)</f>
        <v>198</v>
      </c>
      <c r="Q270">
        <f>_xlfn.RANK.EQ(N270,N$2:N$564)</f>
        <v>248</v>
      </c>
      <c r="R270">
        <f>_xlfn.RANK.EQ(O270,O$2:O$564)</f>
        <v>349</v>
      </c>
      <c r="S270">
        <f>SUM(P270:R270)</f>
        <v>795</v>
      </c>
      <c r="T270">
        <f>_xlfn.RANK.EQ(S270,S$2:S$564, 1)</f>
        <v>269</v>
      </c>
    </row>
    <row r="271" spans="1:20" x14ac:dyDescent="0.35">
      <c r="A271" t="s">
        <v>476</v>
      </c>
      <c r="B271">
        <v>156.72</v>
      </c>
      <c r="C271">
        <v>61.98</v>
      </c>
      <c r="D271">
        <v>66.62</v>
      </c>
      <c r="E271">
        <v>196.95</v>
      </c>
      <c r="F271">
        <v>12.38</v>
      </c>
      <c r="G271">
        <v>-3</v>
      </c>
      <c r="H271">
        <v>1</v>
      </c>
      <c r="I271">
        <v>5</v>
      </c>
      <c r="J271">
        <v>0</v>
      </c>
      <c r="K271">
        <v>0</v>
      </c>
      <c r="L271">
        <v>2</v>
      </c>
      <c r="M271" s="1">
        <f>C271/$B271-1</f>
        <v>-0.60451761102603374</v>
      </c>
      <c r="N271" s="1">
        <f>D271/$B271-1</f>
        <v>-0.57491066870852481</v>
      </c>
      <c r="O271" s="1">
        <f>E271/$B271-1</f>
        <v>0.25669984686064318</v>
      </c>
      <c r="P271">
        <f>_xlfn.RANK.EQ(M271,M$2:M$564)</f>
        <v>233</v>
      </c>
      <c r="Q271">
        <f>_xlfn.RANK.EQ(N271,N$2:N$564)</f>
        <v>307</v>
      </c>
      <c r="R271">
        <f>_xlfn.RANK.EQ(O271,O$2:O$564)</f>
        <v>262</v>
      </c>
      <c r="S271">
        <f>SUM(P271:R271)</f>
        <v>802</v>
      </c>
      <c r="T271">
        <f>_xlfn.RANK.EQ(S271,S$2:S$564, 1)</f>
        <v>270</v>
      </c>
    </row>
    <row r="272" spans="1:20" x14ac:dyDescent="0.35">
      <c r="A272" t="s">
        <v>521</v>
      </c>
      <c r="B272">
        <v>18.989999999999998</v>
      </c>
      <c r="C272">
        <v>8.11</v>
      </c>
      <c r="D272">
        <v>9.0399999999999991</v>
      </c>
      <c r="E272">
        <v>18.760000000000002</v>
      </c>
      <c r="F272">
        <v>12.2</v>
      </c>
      <c r="G272">
        <v>0</v>
      </c>
      <c r="H272">
        <v>1</v>
      </c>
      <c r="I272">
        <v>5</v>
      </c>
      <c r="J272">
        <v>0</v>
      </c>
      <c r="K272">
        <v>0</v>
      </c>
      <c r="L272">
        <v>2</v>
      </c>
      <c r="M272" s="1">
        <f>C272/$B272-1</f>
        <v>-0.57293312269615582</v>
      </c>
      <c r="N272" s="1">
        <f>D272/$B272-1</f>
        <v>-0.52395997893628232</v>
      </c>
      <c r="O272" s="1">
        <f>E272/$B272-1</f>
        <v>-1.2111637704054656E-2</v>
      </c>
      <c r="P272">
        <f>_xlfn.RANK.EQ(M272,M$2:M$564)</f>
        <v>209</v>
      </c>
      <c r="Q272">
        <f>_xlfn.RANK.EQ(N272,N$2:N$564)</f>
        <v>271</v>
      </c>
      <c r="R272">
        <f>_xlfn.RANK.EQ(O272,O$2:O$564)</f>
        <v>322</v>
      </c>
      <c r="S272">
        <f>SUM(P272:R272)</f>
        <v>802</v>
      </c>
      <c r="T272">
        <f>_xlfn.RANK.EQ(S272,S$2:S$564, 1)</f>
        <v>270</v>
      </c>
    </row>
    <row r="273" spans="1:20" x14ac:dyDescent="0.35">
      <c r="A273" t="s">
        <v>368</v>
      </c>
      <c r="B273">
        <v>257.83999999999997</v>
      </c>
      <c r="C273">
        <v>72.09</v>
      </c>
      <c r="D273">
        <v>116.24</v>
      </c>
      <c r="E273">
        <v>468.72</v>
      </c>
      <c r="F273">
        <v>12.25</v>
      </c>
      <c r="G273">
        <v>1</v>
      </c>
      <c r="H273">
        <v>6</v>
      </c>
      <c r="I273">
        <v>10</v>
      </c>
      <c r="J273">
        <v>0</v>
      </c>
      <c r="K273">
        <v>0</v>
      </c>
      <c r="L273">
        <v>2</v>
      </c>
      <c r="M273" s="1">
        <f>C273/$B273-1</f>
        <v>-0.72040800496431889</v>
      </c>
      <c r="N273" s="1">
        <f>D273/$B273-1</f>
        <v>-0.5491777846726652</v>
      </c>
      <c r="O273" s="1">
        <f>E273/$B273-1</f>
        <v>0.81787154824697517</v>
      </c>
      <c r="P273">
        <f>_xlfn.RANK.EQ(M273,M$2:M$564)</f>
        <v>332</v>
      </c>
      <c r="Q273">
        <f>_xlfn.RANK.EQ(N273,N$2:N$564)</f>
        <v>285</v>
      </c>
      <c r="R273">
        <f>_xlfn.RANK.EQ(O273,O$2:O$564)</f>
        <v>190</v>
      </c>
      <c r="S273">
        <f>SUM(P273:R273)</f>
        <v>807</v>
      </c>
      <c r="T273">
        <f>_xlfn.RANK.EQ(S273,S$2:S$564, 1)</f>
        <v>272</v>
      </c>
    </row>
    <row r="274" spans="1:20" x14ac:dyDescent="0.35">
      <c r="A274" t="s">
        <v>49</v>
      </c>
      <c r="B274">
        <v>696.4</v>
      </c>
      <c r="C274">
        <v>116.75</v>
      </c>
      <c r="D274">
        <v>310.43</v>
      </c>
      <c r="E274">
        <v>2201.9699999999998</v>
      </c>
      <c r="F274">
        <v>6.17</v>
      </c>
      <c r="G274">
        <v>2</v>
      </c>
      <c r="H274">
        <v>8</v>
      </c>
      <c r="I274">
        <v>15</v>
      </c>
      <c r="J274">
        <v>1</v>
      </c>
      <c r="K274">
        <v>5</v>
      </c>
      <c r="L274">
        <v>9</v>
      </c>
      <c r="M274" s="1">
        <f>C274/$B274-1</f>
        <v>-0.83235209649626651</v>
      </c>
      <c r="N274" s="1">
        <f>D274/$B274-1</f>
        <v>-0.55423607122343477</v>
      </c>
      <c r="O274" s="1">
        <f>E274/$B274-1</f>
        <v>2.1619327972429638</v>
      </c>
      <c r="P274">
        <f>_xlfn.RANK.EQ(M274,M$2:M$564)</f>
        <v>428</v>
      </c>
      <c r="Q274">
        <f>_xlfn.RANK.EQ(N274,N$2:N$564)</f>
        <v>290</v>
      </c>
      <c r="R274">
        <f>_xlfn.RANK.EQ(O274,O$2:O$564)</f>
        <v>91</v>
      </c>
      <c r="S274">
        <f>SUM(P274:R274)</f>
        <v>809</v>
      </c>
      <c r="T274">
        <f>_xlfn.RANK.EQ(S274,S$2:S$564, 1)</f>
        <v>273</v>
      </c>
    </row>
    <row r="275" spans="1:20" x14ac:dyDescent="0.35">
      <c r="A275" t="s">
        <v>273</v>
      </c>
      <c r="B275">
        <v>257.14</v>
      </c>
      <c r="C275">
        <v>82.06</v>
      </c>
      <c r="D275">
        <v>121.95</v>
      </c>
      <c r="E275">
        <v>331.2</v>
      </c>
      <c r="F275">
        <v>11.08</v>
      </c>
      <c r="G275">
        <v>1</v>
      </c>
      <c r="H275">
        <v>5</v>
      </c>
      <c r="I275">
        <v>9</v>
      </c>
      <c r="J275">
        <v>0</v>
      </c>
      <c r="K275">
        <v>1</v>
      </c>
      <c r="L275">
        <v>2</v>
      </c>
      <c r="M275" s="1">
        <f>C275/$B275-1</f>
        <v>-0.68087423193591035</v>
      </c>
      <c r="N275" s="1">
        <f>D275/$B275-1</f>
        <v>-0.52574473049700554</v>
      </c>
      <c r="O275" s="1">
        <f>E275/$B275-1</f>
        <v>0.28801431127012522</v>
      </c>
      <c r="P275">
        <f>_xlfn.RANK.EQ(M275,M$2:M$564)</f>
        <v>300</v>
      </c>
      <c r="Q275">
        <f>_xlfn.RANK.EQ(N275,N$2:N$564)</f>
        <v>272</v>
      </c>
      <c r="R275">
        <f>_xlfn.RANK.EQ(O275,O$2:O$564)</f>
        <v>258</v>
      </c>
      <c r="S275">
        <f>SUM(P275:R275)</f>
        <v>830</v>
      </c>
      <c r="T275">
        <f>_xlfn.RANK.EQ(S275,S$2:S$564, 1)</f>
        <v>274</v>
      </c>
    </row>
    <row r="276" spans="1:20" x14ac:dyDescent="0.35">
      <c r="A276" t="s">
        <v>275</v>
      </c>
      <c r="B276">
        <v>93.54</v>
      </c>
      <c r="C276">
        <v>28.19</v>
      </c>
      <c r="D276">
        <v>43</v>
      </c>
      <c r="E276">
        <v>131.47999999999999</v>
      </c>
      <c r="F276">
        <v>11.7</v>
      </c>
      <c r="G276">
        <v>1</v>
      </c>
      <c r="H276">
        <v>5</v>
      </c>
      <c r="I276">
        <v>10</v>
      </c>
      <c r="J276">
        <v>0</v>
      </c>
      <c r="K276">
        <v>0</v>
      </c>
      <c r="L276">
        <v>2</v>
      </c>
      <c r="M276" s="1">
        <f>C276/$B276-1</f>
        <v>-0.69863160145392345</v>
      </c>
      <c r="N276" s="1">
        <f>D276/$B276-1</f>
        <v>-0.54030361342741084</v>
      </c>
      <c r="O276" s="1">
        <f>E276/$B276-1</f>
        <v>0.4056018815480007</v>
      </c>
      <c r="P276">
        <f>_xlfn.RANK.EQ(M276,M$2:M$564)</f>
        <v>316</v>
      </c>
      <c r="Q276">
        <f>_xlfn.RANK.EQ(N276,N$2:N$564)</f>
        <v>278</v>
      </c>
      <c r="R276">
        <f>_xlfn.RANK.EQ(O276,O$2:O$564)</f>
        <v>238</v>
      </c>
      <c r="S276">
        <f>SUM(P276:R276)</f>
        <v>832</v>
      </c>
      <c r="T276">
        <f>_xlfn.RANK.EQ(S276,S$2:S$564, 1)</f>
        <v>275</v>
      </c>
    </row>
    <row r="277" spans="1:20" x14ac:dyDescent="0.35">
      <c r="A277" t="s">
        <v>254</v>
      </c>
      <c r="B277">
        <v>139.28</v>
      </c>
      <c r="C277">
        <v>43.23</v>
      </c>
      <c r="D277">
        <v>63.81</v>
      </c>
      <c r="E277">
        <v>191.47</v>
      </c>
      <c r="F277">
        <v>12.27</v>
      </c>
      <c r="G277">
        <v>1</v>
      </c>
      <c r="H277">
        <v>5</v>
      </c>
      <c r="I277">
        <v>9</v>
      </c>
      <c r="J277">
        <v>0</v>
      </c>
      <c r="K277">
        <v>0</v>
      </c>
      <c r="L277">
        <v>2</v>
      </c>
      <c r="M277" s="1">
        <f>C277/$B277-1</f>
        <v>-0.68961803561171742</v>
      </c>
      <c r="N277" s="1">
        <f>D277/$B277-1</f>
        <v>-0.54185812751292362</v>
      </c>
      <c r="O277" s="1">
        <f>E277/$B277-1</f>
        <v>0.37471280873061463</v>
      </c>
      <c r="P277">
        <f>_xlfn.RANK.EQ(M277,M$2:M$564)</f>
        <v>308</v>
      </c>
      <c r="Q277">
        <f>_xlfn.RANK.EQ(N277,N$2:N$564)</f>
        <v>282</v>
      </c>
      <c r="R277">
        <f>_xlfn.RANK.EQ(O277,O$2:O$564)</f>
        <v>243</v>
      </c>
      <c r="S277">
        <f>SUM(P277:R277)</f>
        <v>833</v>
      </c>
      <c r="T277">
        <f>_xlfn.RANK.EQ(S277,S$2:S$564, 1)</f>
        <v>276</v>
      </c>
    </row>
    <row r="278" spans="1:20" x14ac:dyDescent="0.35">
      <c r="A278" t="s">
        <v>48</v>
      </c>
      <c r="B278">
        <v>238</v>
      </c>
      <c r="C278">
        <v>78.03</v>
      </c>
      <c r="D278">
        <v>101.28</v>
      </c>
      <c r="E278">
        <v>312.75</v>
      </c>
      <c r="F278">
        <v>13.34</v>
      </c>
      <c r="G278">
        <v>1</v>
      </c>
      <c r="H278">
        <v>3</v>
      </c>
      <c r="I278">
        <v>6</v>
      </c>
      <c r="J278">
        <v>0</v>
      </c>
      <c r="K278">
        <v>0</v>
      </c>
      <c r="L278">
        <v>2</v>
      </c>
      <c r="M278" s="1">
        <f>C278/$B278-1</f>
        <v>-0.67214285714285715</v>
      </c>
      <c r="N278" s="1">
        <f>D278/$B278-1</f>
        <v>-0.57445378151260496</v>
      </c>
      <c r="O278" s="1">
        <f>E278/$B278-1</f>
        <v>0.31407563025210083</v>
      </c>
      <c r="P278">
        <f>_xlfn.RANK.EQ(M278,M$2:M$564)</f>
        <v>287</v>
      </c>
      <c r="Q278">
        <f>_xlfn.RANK.EQ(N278,N$2:N$564)</f>
        <v>306</v>
      </c>
      <c r="R278">
        <f>_xlfn.RANK.EQ(O278,O$2:O$564)</f>
        <v>254</v>
      </c>
      <c r="S278">
        <f>SUM(P278:R278)</f>
        <v>847</v>
      </c>
      <c r="T278">
        <f>_xlfn.RANK.EQ(S278,S$2:S$564, 1)</f>
        <v>277</v>
      </c>
    </row>
    <row r="279" spans="1:20" x14ac:dyDescent="0.35">
      <c r="A279" t="s">
        <v>470</v>
      </c>
      <c r="B279">
        <v>27.58</v>
      </c>
      <c r="C279">
        <v>11.78</v>
      </c>
      <c r="D279">
        <v>12.47</v>
      </c>
      <c r="E279">
        <v>24.68</v>
      </c>
      <c r="F279">
        <v>11.64</v>
      </c>
      <c r="G279">
        <v>-1</v>
      </c>
      <c r="H279">
        <v>1</v>
      </c>
      <c r="I279">
        <v>5</v>
      </c>
      <c r="J279">
        <v>0</v>
      </c>
      <c r="K279">
        <v>0</v>
      </c>
      <c r="L279">
        <v>2</v>
      </c>
      <c r="M279" s="1">
        <f>C279/$B279-1</f>
        <v>-0.57287889775199419</v>
      </c>
      <c r="N279" s="1">
        <f>D279/$B279-1</f>
        <v>-0.5478607686729513</v>
      </c>
      <c r="O279" s="1">
        <f>E279/$B279-1</f>
        <v>-0.1051486584481508</v>
      </c>
      <c r="P279">
        <f>_xlfn.RANK.EQ(M279,M$2:M$564)</f>
        <v>208</v>
      </c>
      <c r="Q279">
        <f>_xlfn.RANK.EQ(N279,N$2:N$564)</f>
        <v>283</v>
      </c>
      <c r="R279">
        <f>_xlfn.RANK.EQ(O279,O$2:O$564)</f>
        <v>356</v>
      </c>
      <c r="S279">
        <f>SUM(P279:R279)</f>
        <v>847</v>
      </c>
      <c r="T279">
        <f>_xlfn.RANK.EQ(S279,S$2:S$564, 1)</f>
        <v>277</v>
      </c>
    </row>
    <row r="280" spans="1:20" x14ac:dyDescent="0.35">
      <c r="A280" t="s">
        <v>426</v>
      </c>
      <c r="B280">
        <v>241.72</v>
      </c>
      <c r="C280">
        <v>94.78</v>
      </c>
      <c r="D280">
        <v>112.39</v>
      </c>
      <c r="E280">
        <v>229.85</v>
      </c>
      <c r="F280">
        <v>11.86</v>
      </c>
      <c r="G280">
        <v>0</v>
      </c>
      <c r="H280">
        <v>2</v>
      </c>
      <c r="I280">
        <v>5</v>
      </c>
      <c r="J280">
        <v>0</v>
      </c>
      <c r="K280">
        <v>0</v>
      </c>
      <c r="L280">
        <v>2</v>
      </c>
      <c r="M280" s="1">
        <f>C280/$B280-1</f>
        <v>-0.60789343041535659</v>
      </c>
      <c r="N280" s="1">
        <f>D280/$B280-1</f>
        <v>-0.53504054277676649</v>
      </c>
      <c r="O280" s="1">
        <f>E280/$B280-1</f>
        <v>-4.9106404103921864E-2</v>
      </c>
      <c r="P280">
        <f>_xlfn.RANK.EQ(M280,M$2:M$564)</f>
        <v>237</v>
      </c>
      <c r="Q280">
        <f>_xlfn.RANK.EQ(N280,N$2:N$564)</f>
        <v>276</v>
      </c>
      <c r="R280">
        <f>_xlfn.RANK.EQ(O280,O$2:O$564)</f>
        <v>335</v>
      </c>
      <c r="S280">
        <f>SUM(P280:R280)</f>
        <v>848</v>
      </c>
      <c r="T280">
        <f>_xlfn.RANK.EQ(S280,S$2:S$564, 1)</f>
        <v>279</v>
      </c>
    </row>
    <row r="281" spans="1:20" x14ac:dyDescent="0.35">
      <c r="A281" t="s">
        <v>219</v>
      </c>
      <c r="B281">
        <v>45.67</v>
      </c>
      <c r="C281">
        <v>18.649999999999999</v>
      </c>
      <c r="D281">
        <v>18.93</v>
      </c>
      <c r="E281">
        <v>47.44</v>
      </c>
      <c r="F281">
        <v>12.17</v>
      </c>
      <c r="G281">
        <v>-3</v>
      </c>
      <c r="H281">
        <v>1</v>
      </c>
      <c r="I281">
        <v>5</v>
      </c>
      <c r="J281">
        <v>0</v>
      </c>
      <c r="K281">
        <v>0</v>
      </c>
      <c r="L281">
        <v>2</v>
      </c>
      <c r="M281" s="1">
        <f>C281/$B281-1</f>
        <v>-0.59163564703306326</v>
      </c>
      <c r="N281" s="1">
        <f>D281/$B281-1</f>
        <v>-0.58550470768557039</v>
      </c>
      <c r="O281" s="1">
        <f>E281/$B281-1</f>
        <v>3.8756295160937038E-2</v>
      </c>
      <c r="P281">
        <f>_xlfn.RANK.EQ(M281,M$2:M$564)</f>
        <v>218</v>
      </c>
      <c r="Q281">
        <f>_xlfn.RANK.EQ(N281,N$2:N$564)</f>
        <v>319</v>
      </c>
      <c r="R281">
        <f>_xlfn.RANK.EQ(O281,O$2:O$564)</f>
        <v>311</v>
      </c>
      <c r="S281">
        <f>SUM(P281:R281)</f>
        <v>848</v>
      </c>
      <c r="T281">
        <f>_xlfn.RANK.EQ(S281,S$2:S$564, 1)</f>
        <v>279</v>
      </c>
    </row>
    <row r="282" spans="1:20" x14ac:dyDescent="0.35">
      <c r="A282" t="s">
        <v>510</v>
      </c>
      <c r="B282">
        <v>211.61</v>
      </c>
      <c r="C282">
        <v>83.45</v>
      </c>
      <c r="D282">
        <v>93.54</v>
      </c>
      <c r="E282">
        <v>208.71</v>
      </c>
      <c r="F282">
        <v>12.13</v>
      </c>
      <c r="G282">
        <v>0</v>
      </c>
      <c r="H282">
        <v>1</v>
      </c>
      <c r="I282">
        <v>5</v>
      </c>
      <c r="J282">
        <v>0</v>
      </c>
      <c r="K282">
        <v>1</v>
      </c>
      <c r="L282">
        <v>2</v>
      </c>
      <c r="M282" s="1">
        <f>C282/$B282-1</f>
        <v>-0.60564245546051698</v>
      </c>
      <c r="N282" s="1">
        <f>D282/$B282-1</f>
        <v>-0.55796039884693538</v>
      </c>
      <c r="O282" s="1">
        <f>E282/$B282-1</f>
        <v>-1.370445631113848E-2</v>
      </c>
      <c r="P282">
        <f>_xlfn.RANK.EQ(M282,M$2:M$564)</f>
        <v>235</v>
      </c>
      <c r="Q282">
        <f>_xlfn.RANK.EQ(N282,N$2:N$564)</f>
        <v>295</v>
      </c>
      <c r="R282">
        <f>_xlfn.RANK.EQ(O282,O$2:O$564)</f>
        <v>323</v>
      </c>
      <c r="S282">
        <f>SUM(P282:R282)</f>
        <v>853</v>
      </c>
      <c r="T282">
        <f>_xlfn.RANK.EQ(S282,S$2:S$564, 1)</f>
        <v>281</v>
      </c>
    </row>
    <row r="283" spans="1:20" x14ac:dyDescent="0.35">
      <c r="A283" t="s">
        <v>290</v>
      </c>
      <c r="B283">
        <v>94.03</v>
      </c>
      <c r="C283">
        <v>37.78</v>
      </c>
      <c r="D283">
        <v>43.46</v>
      </c>
      <c r="E283">
        <v>84.34</v>
      </c>
      <c r="F283">
        <v>12</v>
      </c>
      <c r="G283">
        <v>0</v>
      </c>
      <c r="H283">
        <v>2</v>
      </c>
      <c r="I283">
        <v>5</v>
      </c>
      <c r="J283">
        <v>0</v>
      </c>
      <c r="K283">
        <v>0</v>
      </c>
      <c r="L283">
        <v>2</v>
      </c>
      <c r="M283" s="1">
        <f>C283/$B283-1</f>
        <v>-0.59821333616930761</v>
      </c>
      <c r="N283" s="1">
        <f>D283/$B283-1</f>
        <v>-0.53780708284590029</v>
      </c>
      <c r="O283" s="1">
        <f>E283/$B283-1</f>
        <v>-0.10305221737743275</v>
      </c>
      <c r="P283">
        <f>_xlfn.RANK.EQ(M283,M$2:M$564)</f>
        <v>224</v>
      </c>
      <c r="Q283">
        <f>_xlfn.RANK.EQ(N283,N$2:N$564)</f>
        <v>277</v>
      </c>
      <c r="R283">
        <f>_xlfn.RANK.EQ(O283,O$2:O$564)</f>
        <v>355</v>
      </c>
      <c r="S283">
        <f>SUM(P283:R283)</f>
        <v>856</v>
      </c>
      <c r="T283">
        <f>_xlfn.RANK.EQ(S283,S$2:S$564, 1)</f>
        <v>282</v>
      </c>
    </row>
    <row r="284" spans="1:20" x14ac:dyDescent="0.35">
      <c r="A284" t="s">
        <v>458</v>
      </c>
      <c r="B284">
        <v>113.39</v>
      </c>
      <c r="C284">
        <v>45.03</v>
      </c>
      <c r="D284">
        <v>50.45</v>
      </c>
      <c r="E284">
        <v>108.07</v>
      </c>
      <c r="F284">
        <v>12.46</v>
      </c>
      <c r="G284">
        <v>0</v>
      </c>
      <c r="H284">
        <v>1</v>
      </c>
      <c r="I284">
        <v>5</v>
      </c>
      <c r="J284">
        <v>0</v>
      </c>
      <c r="K284">
        <v>0</v>
      </c>
      <c r="L284">
        <v>2</v>
      </c>
      <c r="M284" s="1">
        <f>C284/$B284-1</f>
        <v>-0.60287503307169943</v>
      </c>
      <c r="N284" s="1">
        <f>D284/$B284-1</f>
        <v>-0.55507540347473316</v>
      </c>
      <c r="O284" s="1">
        <f>E284/$B284-1</f>
        <v>-4.6917717611782428E-2</v>
      </c>
      <c r="P284">
        <f>_xlfn.RANK.EQ(M284,M$2:M$564)</f>
        <v>231</v>
      </c>
      <c r="Q284">
        <f>_xlfn.RANK.EQ(N284,N$2:N$564)</f>
        <v>292</v>
      </c>
      <c r="R284">
        <f>_xlfn.RANK.EQ(O284,O$2:O$564)</f>
        <v>334</v>
      </c>
      <c r="S284">
        <f>SUM(P284:R284)</f>
        <v>857</v>
      </c>
      <c r="T284">
        <f>_xlfn.RANK.EQ(S284,S$2:S$564, 1)</f>
        <v>283</v>
      </c>
    </row>
    <row r="285" spans="1:20" x14ac:dyDescent="0.35">
      <c r="A285" t="s">
        <v>437</v>
      </c>
      <c r="B285">
        <v>118.68</v>
      </c>
      <c r="C285">
        <v>24.43</v>
      </c>
      <c r="D285">
        <v>50.33</v>
      </c>
      <c r="E285">
        <v>258.47000000000003</v>
      </c>
      <c r="F285">
        <v>10.6</v>
      </c>
      <c r="G285">
        <v>2</v>
      </c>
      <c r="H285">
        <v>10</v>
      </c>
      <c r="I285">
        <v>17</v>
      </c>
      <c r="J285">
        <v>0</v>
      </c>
      <c r="K285">
        <v>0</v>
      </c>
      <c r="L285">
        <v>2</v>
      </c>
      <c r="M285" s="1">
        <f>C285/$B285-1</f>
        <v>-0.79415234243343447</v>
      </c>
      <c r="N285" s="1">
        <f>D285/$B285-1</f>
        <v>-0.57591843613077187</v>
      </c>
      <c r="O285" s="1">
        <f>E285/$B285-1</f>
        <v>1.1778732726659928</v>
      </c>
      <c r="P285">
        <f>_xlfn.RANK.EQ(M285,M$2:M$564)</f>
        <v>394</v>
      </c>
      <c r="Q285">
        <f>_xlfn.RANK.EQ(N285,N$2:N$564)</f>
        <v>309</v>
      </c>
      <c r="R285">
        <f>_xlfn.RANK.EQ(O285,O$2:O$564)</f>
        <v>155</v>
      </c>
      <c r="S285">
        <f>SUM(P285:R285)</f>
        <v>858</v>
      </c>
      <c r="T285">
        <f>_xlfn.RANK.EQ(S285,S$2:S$564, 1)</f>
        <v>284</v>
      </c>
    </row>
    <row r="286" spans="1:20" x14ac:dyDescent="0.35">
      <c r="A286" t="s">
        <v>447</v>
      </c>
      <c r="B286">
        <v>336.42</v>
      </c>
      <c r="C286">
        <v>71.77</v>
      </c>
      <c r="D286">
        <v>140.26</v>
      </c>
      <c r="E286">
        <v>736.09</v>
      </c>
      <c r="F286">
        <v>11.82</v>
      </c>
      <c r="G286">
        <v>2</v>
      </c>
      <c r="H286">
        <v>8</v>
      </c>
      <c r="I286">
        <v>15</v>
      </c>
      <c r="J286">
        <v>0</v>
      </c>
      <c r="K286">
        <v>0</v>
      </c>
      <c r="L286">
        <v>2</v>
      </c>
      <c r="M286" s="1">
        <f>C286/$B286-1</f>
        <v>-0.78666547767671369</v>
      </c>
      <c r="N286" s="1">
        <f>D286/$B286-1</f>
        <v>-0.58308067296831345</v>
      </c>
      <c r="O286" s="1">
        <f>E286/$B286-1</f>
        <v>1.1880090363236429</v>
      </c>
      <c r="P286">
        <f>_xlfn.RANK.EQ(M286,M$2:M$564)</f>
        <v>388</v>
      </c>
      <c r="Q286">
        <f>_xlfn.RANK.EQ(N286,N$2:N$564)</f>
        <v>317</v>
      </c>
      <c r="R286">
        <f>_xlfn.RANK.EQ(O286,O$2:O$564)</f>
        <v>154</v>
      </c>
      <c r="S286">
        <f>SUM(P286:R286)</f>
        <v>859</v>
      </c>
      <c r="T286">
        <f>_xlfn.RANK.EQ(S286,S$2:S$564, 1)</f>
        <v>285</v>
      </c>
    </row>
    <row r="287" spans="1:20" x14ac:dyDescent="0.35">
      <c r="A287" t="s">
        <v>502</v>
      </c>
      <c r="B287">
        <v>48.4</v>
      </c>
      <c r="C287">
        <v>17.28</v>
      </c>
      <c r="D287">
        <v>24.17</v>
      </c>
      <c r="E287">
        <v>47.65</v>
      </c>
      <c r="F287">
        <v>9.85</v>
      </c>
      <c r="G287">
        <v>1</v>
      </c>
      <c r="H287">
        <v>4</v>
      </c>
      <c r="I287">
        <v>8</v>
      </c>
      <c r="J287">
        <v>0</v>
      </c>
      <c r="K287">
        <v>1</v>
      </c>
      <c r="L287">
        <v>2</v>
      </c>
      <c r="M287" s="1">
        <f>C287/$B287-1</f>
        <v>-0.64297520661157015</v>
      </c>
      <c r="N287" s="1">
        <f>D287/$B287-1</f>
        <v>-0.50061983471074378</v>
      </c>
      <c r="O287" s="1">
        <f>E287/$B287-1</f>
        <v>-1.5495867768595017E-2</v>
      </c>
      <c r="P287">
        <f>_xlfn.RANK.EQ(M287,M$2:M$564)</f>
        <v>269</v>
      </c>
      <c r="Q287">
        <f>_xlfn.RANK.EQ(N287,N$2:N$564)</f>
        <v>263</v>
      </c>
      <c r="R287">
        <f>_xlfn.RANK.EQ(O287,O$2:O$564)</f>
        <v>327</v>
      </c>
      <c r="S287">
        <f>SUM(P287:R287)</f>
        <v>859</v>
      </c>
      <c r="T287">
        <f>_xlfn.RANK.EQ(S287,S$2:S$564, 1)</f>
        <v>285</v>
      </c>
    </row>
    <row r="288" spans="1:20" x14ac:dyDescent="0.35">
      <c r="A288" t="s">
        <v>149</v>
      </c>
      <c r="B288">
        <v>32.409999999999997</v>
      </c>
      <c r="C288">
        <v>5.43</v>
      </c>
      <c r="D288">
        <v>15.84</v>
      </c>
      <c r="E288">
        <v>67.63</v>
      </c>
      <c r="F288">
        <v>7.43</v>
      </c>
      <c r="G288">
        <v>1</v>
      </c>
      <c r="H288">
        <v>6</v>
      </c>
      <c r="I288">
        <v>10</v>
      </c>
      <c r="J288">
        <v>1</v>
      </c>
      <c r="K288">
        <v>5</v>
      </c>
      <c r="L288">
        <v>9</v>
      </c>
      <c r="M288" s="1">
        <f>C288/$B288-1</f>
        <v>-0.83245911755630975</v>
      </c>
      <c r="N288" s="1">
        <f>D288/$B288-1</f>
        <v>-0.51126195618636217</v>
      </c>
      <c r="O288" s="1">
        <f>E288/$B288-1</f>
        <v>1.0867016352977479</v>
      </c>
      <c r="P288">
        <f>_xlfn.RANK.EQ(M288,M$2:M$564)</f>
        <v>429</v>
      </c>
      <c r="Q288">
        <f>_xlfn.RANK.EQ(N288,N$2:N$564)</f>
        <v>269</v>
      </c>
      <c r="R288">
        <f>_xlfn.RANK.EQ(O288,O$2:O$564)</f>
        <v>164</v>
      </c>
      <c r="S288">
        <f>SUM(P288:R288)</f>
        <v>862</v>
      </c>
      <c r="T288">
        <f>_xlfn.RANK.EQ(S288,S$2:S$564, 1)</f>
        <v>287</v>
      </c>
    </row>
    <row r="289" spans="1:20" x14ac:dyDescent="0.35">
      <c r="A289" t="s">
        <v>268</v>
      </c>
      <c r="B289">
        <v>262.3</v>
      </c>
      <c r="C289">
        <v>94.98</v>
      </c>
      <c r="D289">
        <v>130.19</v>
      </c>
      <c r="E289">
        <v>254.18</v>
      </c>
      <c r="F289">
        <v>10.24</v>
      </c>
      <c r="G289">
        <v>1</v>
      </c>
      <c r="H289">
        <v>4</v>
      </c>
      <c r="I289">
        <v>7</v>
      </c>
      <c r="J289">
        <v>0</v>
      </c>
      <c r="K289">
        <v>0</v>
      </c>
      <c r="L289">
        <v>2</v>
      </c>
      <c r="M289" s="1">
        <f>C289/$B289-1</f>
        <v>-0.6378955394586352</v>
      </c>
      <c r="N289" s="1">
        <f>D289/$B289-1</f>
        <v>-0.50365993137628673</v>
      </c>
      <c r="O289" s="1">
        <f>E289/$B289-1</f>
        <v>-3.0956919557758256E-2</v>
      </c>
      <c r="P289">
        <f>_xlfn.RANK.EQ(M289,M$2:M$564)</f>
        <v>267</v>
      </c>
      <c r="Q289">
        <f>_xlfn.RANK.EQ(N289,N$2:N$564)</f>
        <v>266</v>
      </c>
      <c r="R289">
        <f>_xlfn.RANK.EQ(O289,O$2:O$564)</f>
        <v>331</v>
      </c>
      <c r="S289">
        <f>SUM(P289:R289)</f>
        <v>864</v>
      </c>
      <c r="T289">
        <f>_xlfn.RANK.EQ(S289,S$2:S$564, 1)</f>
        <v>288</v>
      </c>
    </row>
    <row r="290" spans="1:20" x14ac:dyDescent="0.35">
      <c r="A290" t="s">
        <v>46</v>
      </c>
      <c r="B290">
        <v>35.22</v>
      </c>
      <c r="C290">
        <v>7.46</v>
      </c>
      <c r="D290">
        <v>13.65</v>
      </c>
      <c r="E290">
        <v>84.79</v>
      </c>
      <c r="F290">
        <v>11.36</v>
      </c>
      <c r="G290">
        <v>2</v>
      </c>
      <c r="H290">
        <v>10</v>
      </c>
      <c r="I290">
        <v>18</v>
      </c>
      <c r="J290">
        <v>0</v>
      </c>
      <c r="K290">
        <v>0</v>
      </c>
      <c r="L290">
        <v>2</v>
      </c>
      <c r="M290" s="1">
        <f>C290/$B290-1</f>
        <v>-0.78818852924474725</v>
      </c>
      <c r="N290" s="1">
        <f>D290/$B290-1</f>
        <v>-0.61243611584327085</v>
      </c>
      <c r="O290" s="1">
        <f>E290/$B290-1</f>
        <v>1.4074389551391255</v>
      </c>
      <c r="P290">
        <f>_xlfn.RANK.EQ(M290,M$2:M$564)</f>
        <v>391</v>
      </c>
      <c r="Q290">
        <f>_xlfn.RANK.EQ(N290,N$2:N$564)</f>
        <v>336</v>
      </c>
      <c r="R290">
        <f>_xlfn.RANK.EQ(O290,O$2:O$564)</f>
        <v>138</v>
      </c>
      <c r="S290">
        <f>SUM(P290:R290)</f>
        <v>865</v>
      </c>
      <c r="T290">
        <f>_xlfn.RANK.EQ(S290,S$2:S$564, 1)</f>
        <v>289</v>
      </c>
    </row>
    <row r="291" spans="1:20" x14ac:dyDescent="0.35">
      <c r="A291" t="s">
        <v>73</v>
      </c>
      <c r="B291">
        <v>157.9</v>
      </c>
      <c r="C291">
        <v>64.849999999999994</v>
      </c>
      <c r="D291">
        <v>72.55</v>
      </c>
      <c r="E291">
        <v>130.29</v>
      </c>
      <c r="F291">
        <v>10.97</v>
      </c>
      <c r="G291">
        <v>0</v>
      </c>
      <c r="H291">
        <v>1</v>
      </c>
      <c r="I291">
        <v>5</v>
      </c>
      <c r="J291">
        <v>0</v>
      </c>
      <c r="K291">
        <v>1</v>
      </c>
      <c r="L291">
        <v>2</v>
      </c>
      <c r="M291" s="1">
        <f>C291/$B291-1</f>
        <v>-0.5892970234325523</v>
      </c>
      <c r="N291" s="1">
        <f>D291/$B291-1</f>
        <v>-0.54053198226725785</v>
      </c>
      <c r="O291" s="1">
        <f>E291/$B291-1</f>
        <v>-0.17485750474984174</v>
      </c>
      <c r="P291">
        <f>_xlfn.RANK.EQ(M291,M$2:M$564)</f>
        <v>215</v>
      </c>
      <c r="Q291">
        <f>_xlfn.RANK.EQ(N291,N$2:N$564)</f>
        <v>280</v>
      </c>
      <c r="R291">
        <f>_xlfn.RANK.EQ(O291,O$2:O$564)</f>
        <v>373</v>
      </c>
      <c r="S291">
        <f>SUM(P291:R291)</f>
        <v>868</v>
      </c>
      <c r="T291">
        <f>_xlfn.RANK.EQ(S291,S$2:S$564, 1)</f>
        <v>290</v>
      </c>
    </row>
    <row r="292" spans="1:20" x14ac:dyDescent="0.35">
      <c r="A292" t="s">
        <v>319</v>
      </c>
      <c r="B292">
        <v>171.63</v>
      </c>
      <c r="C292">
        <v>36.96</v>
      </c>
      <c r="D292">
        <v>75.989999999999995</v>
      </c>
      <c r="E292">
        <v>299.08</v>
      </c>
      <c r="F292">
        <v>6.74</v>
      </c>
      <c r="G292">
        <v>1</v>
      </c>
      <c r="H292">
        <v>6</v>
      </c>
      <c r="I292">
        <v>10</v>
      </c>
      <c r="J292">
        <v>1</v>
      </c>
      <c r="K292">
        <v>5</v>
      </c>
      <c r="L292">
        <v>9</v>
      </c>
      <c r="M292" s="1">
        <f>C292/$B292-1</f>
        <v>-0.78465303268659325</v>
      </c>
      <c r="N292" s="1">
        <f>D292/$B292-1</f>
        <v>-0.55724523684670513</v>
      </c>
      <c r="O292" s="1">
        <f>E292/$B292-1</f>
        <v>0.74258579502417987</v>
      </c>
      <c r="P292">
        <f>_xlfn.RANK.EQ(M292,M$2:M$564)</f>
        <v>386</v>
      </c>
      <c r="Q292">
        <f>_xlfn.RANK.EQ(N292,N$2:N$564)</f>
        <v>294</v>
      </c>
      <c r="R292">
        <f>_xlfn.RANK.EQ(O292,O$2:O$564)</f>
        <v>199</v>
      </c>
      <c r="S292">
        <f>SUM(P292:R292)</f>
        <v>879</v>
      </c>
      <c r="T292">
        <f>_xlfn.RANK.EQ(S292,S$2:S$564, 1)</f>
        <v>291</v>
      </c>
    </row>
    <row r="293" spans="1:20" x14ac:dyDescent="0.35">
      <c r="A293" t="s">
        <v>401</v>
      </c>
      <c r="B293">
        <v>187.22</v>
      </c>
      <c r="C293">
        <v>72.31</v>
      </c>
      <c r="D293">
        <v>82.04</v>
      </c>
      <c r="E293">
        <v>175.02</v>
      </c>
      <c r="F293">
        <v>12.51</v>
      </c>
      <c r="G293">
        <v>0</v>
      </c>
      <c r="H293">
        <v>1</v>
      </c>
      <c r="I293">
        <v>5</v>
      </c>
      <c r="J293">
        <v>0</v>
      </c>
      <c r="K293">
        <v>0</v>
      </c>
      <c r="L293">
        <v>2</v>
      </c>
      <c r="M293" s="1">
        <f>C293/$B293-1</f>
        <v>-0.61376989637859203</v>
      </c>
      <c r="N293" s="1">
        <f>D293/$B293-1</f>
        <v>-0.56179895310330097</v>
      </c>
      <c r="O293" s="1">
        <f>E293/$B293-1</f>
        <v>-6.5163978207456452E-2</v>
      </c>
      <c r="P293">
        <f>_xlfn.RANK.EQ(M293,M$2:M$564)</f>
        <v>240</v>
      </c>
      <c r="Q293">
        <f>_xlfn.RANK.EQ(N293,N$2:N$564)</f>
        <v>298</v>
      </c>
      <c r="R293">
        <f>_xlfn.RANK.EQ(O293,O$2:O$564)</f>
        <v>341</v>
      </c>
      <c r="S293">
        <f>SUM(P293:R293)</f>
        <v>879</v>
      </c>
      <c r="T293">
        <f>_xlfn.RANK.EQ(S293,S$2:S$564, 1)</f>
        <v>291</v>
      </c>
    </row>
    <row r="294" spans="1:20" x14ac:dyDescent="0.35">
      <c r="A294" t="s">
        <v>300</v>
      </c>
      <c r="B294">
        <v>28.65</v>
      </c>
      <c r="C294">
        <v>5.35</v>
      </c>
      <c r="D294">
        <v>11.74</v>
      </c>
      <c r="E294">
        <v>65.14</v>
      </c>
      <c r="F294">
        <v>10.68</v>
      </c>
      <c r="G294">
        <v>2</v>
      </c>
      <c r="H294">
        <v>10</v>
      </c>
      <c r="I294">
        <v>18</v>
      </c>
      <c r="J294">
        <v>0</v>
      </c>
      <c r="K294">
        <v>0</v>
      </c>
      <c r="L294">
        <v>2</v>
      </c>
      <c r="M294" s="1">
        <f>C294/$B294-1</f>
        <v>-0.81326352530541013</v>
      </c>
      <c r="N294" s="1">
        <f>D294/$B294-1</f>
        <v>-0.59022687609075042</v>
      </c>
      <c r="O294" s="1">
        <f>E294/$B294-1</f>
        <v>1.2736474694589881</v>
      </c>
      <c r="P294">
        <f>_xlfn.RANK.EQ(M294,M$2:M$564)</f>
        <v>408</v>
      </c>
      <c r="Q294">
        <f>_xlfn.RANK.EQ(N294,N$2:N$564)</f>
        <v>322</v>
      </c>
      <c r="R294">
        <f>_xlfn.RANK.EQ(O294,O$2:O$564)</f>
        <v>150</v>
      </c>
      <c r="S294">
        <f>SUM(P294:R294)</f>
        <v>880</v>
      </c>
      <c r="T294">
        <f>_xlfn.RANK.EQ(S294,S$2:S$564, 1)</f>
        <v>293</v>
      </c>
    </row>
    <row r="295" spans="1:20" x14ac:dyDescent="0.35">
      <c r="A295" t="s">
        <v>80</v>
      </c>
      <c r="B295">
        <v>166.11</v>
      </c>
      <c r="C295">
        <v>61.31</v>
      </c>
      <c r="D295">
        <v>80.19</v>
      </c>
      <c r="E295">
        <v>149.74</v>
      </c>
      <c r="F295">
        <v>10.5</v>
      </c>
      <c r="G295">
        <v>1</v>
      </c>
      <c r="H295">
        <v>3</v>
      </c>
      <c r="I295">
        <v>5</v>
      </c>
      <c r="J295">
        <v>0</v>
      </c>
      <c r="K295">
        <v>1</v>
      </c>
      <c r="L295">
        <v>2</v>
      </c>
      <c r="M295" s="1">
        <f>C295/$B295-1</f>
        <v>-0.63090723014869665</v>
      </c>
      <c r="N295" s="1">
        <f>D295/$B295-1</f>
        <v>-0.5172476070074048</v>
      </c>
      <c r="O295" s="1">
        <f>E295/$B295-1</f>
        <v>-9.8549154174944364E-2</v>
      </c>
      <c r="P295">
        <f>_xlfn.RANK.EQ(M295,M$2:M$564)</f>
        <v>258</v>
      </c>
      <c r="Q295">
        <f>_xlfn.RANK.EQ(N295,N$2:N$564)</f>
        <v>270</v>
      </c>
      <c r="R295">
        <f>_xlfn.RANK.EQ(O295,O$2:O$564)</f>
        <v>352</v>
      </c>
      <c r="S295">
        <f>SUM(P295:R295)</f>
        <v>880</v>
      </c>
      <c r="T295">
        <f>_xlfn.RANK.EQ(S295,S$2:S$564, 1)</f>
        <v>293</v>
      </c>
    </row>
    <row r="296" spans="1:20" x14ac:dyDescent="0.35">
      <c r="A296" t="s">
        <v>537</v>
      </c>
      <c r="B296">
        <v>147.15</v>
      </c>
      <c r="C296">
        <v>24</v>
      </c>
      <c r="D296">
        <v>56.55</v>
      </c>
      <c r="E296">
        <v>403.69</v>
      </c>
      <c r="F296">
        <v>12.03</v>
      </c>
      <c r="G296">
        <v>2</v>
      </c>
      <c r="H296">
        <v>10</v>
      </c>
      <c r="I296">
        <v>18</v>
      </c>
      <c r="J296">
        <v>0</v>
      </c>
      <c r="K296">
        <v>0</v>
      </c>
      <c r="L296">
        <v>2</v>
      </c>
      <c r="M296" s="1">
        <f>C296/$B296-1</f>
        <v>-0.836901121304791</v>
      </c>
      <c r="N296" s="1">
        <f>D296/$B296-1</f>
        <v>-0.61569826707441389</v>
      </c>
      <c r="O296" s="1">
        <f>E296/$B296-1</f>
        <v>1.7433910975195377</v>
      </c>
      <c r="P296">
        <f>_xlfn.RANK.EQ(M296,M$2:M$564)</f>
        <v>430</v>
      </c>
      <c r="Q296">
        <f>_xlfn.RANK.EQ(N296,N$2:N$564)</f>
        <v>338</v>
      </c>
      <c r="R296">
        <f>_xlfn.RANK.EQ(O296,O$2:O$564)</f>
        <v>113</v>
      </c>
      <c r="S296">
        <f>SUM(P296:R296)</f>
        <v>881</v>
      </c>
      <c r="T296">
        <f>_xlfn.RANK.EQ(S296,S$2:S$564, 1)</f>
        <v>295</v>
      </c>
    </row>
    <row r="297" spans="1:20" x14ac:dyDescent="0.35">
      <c r="A297" t="s">
        <v>50</v>
      </c>
      <c r="B297">
        <v>116.33</v>
      </c>
      <c r="C297">
        <v>37.67</v>
      </c>
      <c r="D297">
        <v>48.59</v>
      </c>
      <c r="E297">
        <v>139.91999999999999</v>
      </c>
      <c r="F297">
        <v>12.88</v>
      </c>
      <c r="G297">
        <v>0</v>
      </c>
      <c r="H297">
        <v>2</v>
      </c>
      <c r="I297">
        <v>5</v>
      </c>
      <c r="J297">
        <v>0</v>
      </c>
      <c r="K297">
        <v>0</v>
      </c>
      <c r="L297">
        <v>2</v>
      </c>
      <c r="M297" s="1">
        <f>C297/$B297-1</f>
        <v>-0.67617983323304398</v>
      </c>
      <c r="N297" s="1">
        <f>D297/$B297-1</f>
        <v>-0.58230894868047789</v>
      </c>
      <c r="O297" s="1">
        <f>E297/$B297-1</f>
        <v>0.20278518009112001</v>
      </c>
      <c r="P297">
        <f>_xlfn.RANK.EQ(M297,M$2:M$564)</f>
        <v>293</v>
      </c>
      <c r="Q297">
        <f>_xlfn.RANK.EQ(N297,N$2:N$564)</f>
        <v>315</v>
      </c>
      <c r="R297">
        <f>_xlfn.RANK.EQ(O297,O$2:O$564)</f>
        <v>273</v>
      </c>
      <c r="S297">
        <f>SUM(P297:R297)</f>
        <v>881</v>
      </c>
      <c r="T297">
        <f>_xlfn.RANK.EQ(S297,S$2:S$564, 1)</f>
        <v>295</v>
      </c>
    </row>
    <row r="298" spans="1:20" x14ac:dyDescent="0.35">
      <c r="A298" t="s">
        <v>435</v>
      </c>
      <c r="B298">
        <v>51.17</v>
      </c>
      <c r="C298">
        <v>15.23</v>
      </c>
      <c r="D298">
        <v>19.329999999999998</v>
      </c>
      <c r="E298">
        <v>75.010000000000005</v>
      </c>
      <c r="F298">
        <v>13.22</v>
      </c>
      <c r="G298">
        <v>0</v>
      </c>
      <c r="H298">
        <v>1</v>
      </c>
      <c r="I298">
        <v>5</v>
      </c>
      <c r="J298">
        <v>0</v>
      </c>
      <c r="K298">
        <v>0</v>
      </c>
      <c r="L298">
        <v>2</v>
      </c>
      <c r="M298" s="1">
        <f>C298/$B298-1</f>
        <v>-0.70236466679695142</v>
      </c>
      <c r="N298" s="1">
        <f>D298/$B298-1</f>
        <v>-0.62223959351182345</v>
      </c>
      <c r="O298" s="1">
        <f>E298/$B298-1</f>
        <v>0.46589798710181762</v>
      </c>
      <c r="P298">
        <f>_xlfn.RANK.EQ(M298,M$2:M$564)</f>
        <v>318</v>
      </c>
      <c r="Q298">
        <f>_xlfn.RANK.EQ(N298,N$2:N$564)</f>
        <v>341</v>
      </c>
      <c r="R298">
        <f>_xlfn.RANK.EQ(O298,O$2:O$564)</f>
        <v>224</v>
      </c>
      <c r="S298">
        <f>SUM(P298:R298)</f>
        <v>883</v>
      </c>
      <c r="T298">
        <f>_xlfn.RANK.EQ(S298,S$2:S$564, 1)</f>
        <v>297</v>
      </c>
    </row>
    <row r="299" spans="1:20" x14ac:dyDescent="0.35">
      <c r="A299" t="s">
        <v>258</v>
      </c>
      <c r="B299">
        <v>937.17</v>
      </c>
      <c r="C299">
        <v>219.88</v>
      </c>
      <c r="D299">
        <v>442.22</v>
      </c>
      <c r="E299">
        <v>1288.6099999999999</v>
      </c>
      <c r="F299">
        <v>7.23</v>
      </c>
      <c r="G299">
        <v>1</v>
      </c>
      <c r="H299">
        <v>5</v>
      </c>
      <c r="I299">
        <v>9</v>
      </c>
      <c r="J299">
        <v>0</v>
      </c>
      <c r="K299">
        <v>1</v>
      </c>
      <c r="L299">
        <v>3</v>
      </c>
      <c r="M299" s="1">
        <f>C299/$B299-1</f>
        <v>-0.76537874665215488</v>
      </c>
      <c r="N299" s="1">
        <f>D299/$B299-1</f>
        <v>-0.52813256933107122</v>
      </c>
      <c r="O299" s="1">
        <f>E299/$B299-1</f>
        <v>0.37500133380283196</v>
      </c>
      <c r="P299">
        <f>_xlfn.RANK.EQ(M299,M$2:M$564)</f>
        <v>370</v>
      </c>
      <c r="Q299">
        <f>_xlfn.RANK.EQ(N299,N$2:N$564)</f>
        <v>274</v>
      </c>
      <c r="R299">
        <f>_xlfn.RANK.EQ(O299,O$2:O$564)</f>
        <v>241</v>
      </c>
      <c r="S299">
        <f>SUM(P299:R299)</f>
        <v>885</v>
      </c>
      <c r="T299">
        <f>_xlfn.RANK.EQ(S299,S$2:S$564, 1)</f>
        <v>298</v>
      </c>
    </row>
    <row r="300" spans="1:20" x14ac:dyDescent="0.35">
      <c r="A300" t="s">
        <v>57</v>
      </c>
      <c r="B300">
        <v>234.07</v>
      </c>
      <c r="C300">
        <v>70.45</v>
      </c>
      <c r="D300">
        <v>105.39</v>
      </c>
      <c r="E300">
        <v>273.69</v>
      </c>
      <c r="F300">
        <v>5.69</v>
      </c>
      <c r="G300">
        <v>0</v>
      </c>
      <c r="H300">
        <v>1</v>
      </c>
      <c r="I300">
        <v>5</v>
      </c>
      <c r="J300">
        <v>1</v>
      </c>
      <c r="K300">
        <v>3</v>
      </c>
      <c r="L300">
        <v>5</v>
      </c>
      <c r="M300" s="1">
        <f>C300/$B300-1</f>
        <v>-0.69902166018712353</v>
      </c>
      <c r="N300" s="1">
        <f>D300/$B300-1</f>
        <v>-0.54975007476395943</v>
      </c>
      <c r="O300" s="1">
        <f>E300/$B300-1</f>
        <v>0.16926560430640403</v>
      </c>
      <c r="P300">
        <f>_xlfn.RANK.EQ(M300,M$2:M$564)</f>
        <v>317</v>
      </c>
      <c r="Q300">
        <f>_xlfn.RANK.EQ(N300,N$2:N$564)</f>
        <v>286</v>
      </c>
      <c r="R300">
        <f>_xlfn.RANK.EQ(O300,O$2:O$564)</f>
        <v>284</v>
      </c>
      <c r="S300">
        <f>SUM(P300:R300)</f>
        <v>887</v>
      </c>
      <c r="T300">
        <f>_xlfn.RANK.EQ(S300,S$2:S$564, 1)</f>
        <v>299</v>
      </c>
    </row>
    <row r="301" spans="1:20" x14ac:dyDescent="0.35">
      <c r="A301" t="s">
        <v>83</v>
      </c>
      <c r="B301">
        <v>646.03</v>
      </c>
      <c r="C301">
        <v>161.33000000000001</v>
      </c>
      <c r="D301">
        <v>280.02</v>
      </c>
      <c r="E301">
        <v>933.6</v>
      </c>
      <c r="F301">
        <v>10.35</v>
      </c>
      <c r="G301">
        <v>2</v>
      </c>
      <c r="H301">
        <v>7</v>
      </c>
      <c r="I301">
        <v>13</v>
      </c>
      <c r="J301">
        <v>0</v>
      </c>
      <c r="K301">
        <v>1</v>
      </c>
      <c r="L301">
        <v>2</v>
      </c>
      <c r="M301" s="1">
        <f>C301/$B301-1</f>
        <v>-0.75027475504233543</v>
      </c>
      <c r="N301" s="1">
        <f>D301/$B301-1</f>
        <v>-0.56655263687444857</v>
      </c>
      <c r="O301" s="1">
        <f>E301/$B301-1</f>
        <v>0.4451341268981317</v>
      </c>
      <c r="P301">
        <f>_xlfn.RANK.EQ(M301,M$2:M$564)</f>
        <v>356</v>
      </c>
      <c r="Q301">
        <f>_xlfn.RANK.EQ(N301,N$2:N$564)</f>
        <v>303</v>
      </c>
      <c r="R301">
        <f>_xlfn.RANK.EQ(O301,O$2:O$564)</f>
        <v>229</v>
      </c>
      <c r="S301">
        <f>SUM(P301:R301)</f>
        <v>888</v>
      </c>
      <c r="T301">
        <f>_xlfn.RANK.EQ(S301,S$2:S$564, 1)</f>
        <v>300</v>
      </c>
    </row>
    <row r="302" spans="1:20" x14ac:dyDescent="0.35">
      <c r="A302" t="s">
        <v>322</v>
      </c>
      <c r="B302">
        <v>75.63</v>
      </c>
      <c r="C302">
        <v>30.45</v>
      </c>
      <c r="D302">
        <v>33.11</v>
      </c>
      <c r="E302">
        <v>62.86</v>
      </c>
      <c r="F302">
        <v>11.83</v>
      </c>
      <c r="G302">
        <v>-1</v>
      </c>
      <c r="H302">
        <v>1</v>
      </c>
      <c r="I302">
        <v>5</v>
      </c>
      <c r="J302">
        <v>0</v>
      </c>
      <c r="K302">
        <v>1</v>
      </c>
      <c r="L302">
        <v>2</v>
      </c>
      <c r="M302" s="1">
        <f>C302/$B302-1</f>
        <v>-0.59738199127330427</v>
      </c>
      <c r="N302" s="1">
        <f>D302/$B302-1</f>
        <v>-0.56221076292476524</v>
      </c>
      <c r="O302" s="1">
        <f>E302/$B302-1</f>
        <v>-0.16884834060557974</v>
      </c>
      <c r="P302">
        <f>_xlfn.RANK.EQ(M302,M$2:M$564)</f>
        <v>223</v>
      </c>
      <c r="Q302">
        <f>_xlfn.RANK.EQ(N302,N$2:N$564)</f>
        <v>299</v>
      </c>
      <c r="R302">
        <f>_xlfn.RANK.EQ(O302,O$2:O$564)</f>
        <v>371</v>
      </c>
      <c r="S302">
        <f>SUM(P302:R302)</f>
        <v>893</v>
      </c>
      <c r="T302">
        <f>_xlfn.RANK.EQ(S302,S$2:S$564, 1)</f>
        <v>301</v>
      </c>
    </row>
    <row r="303" spans="1:20" x14ac:dyDescent="0.35">
      <c r="A303" t="s">
        <v>246</v>
      </c>
      <c r="B303">
        <v>575.96</v>
      </c>
      <c r="C303">
        <v>211.76</v>
      </c>
      <c r="D303">
        <v>253.79</v>
      </c>
      <c r="E303">
        <v>540.09</v>
      </c>
      <c r="F303">
        <v>11.95</v>
      </c>
      <c r="G303">
        <v>0</v>
      </c>
      <c r="H303">
        <v>2</v>
      </c>
      <c r="I303">
        <v>5</v>
      </c>
      <c r="J303">
        <v>0</v>
      </c>
      <c r="K303">
        <v>0</v>
      </c>
      <c r="L303">
        <v>2</v>
      </c>
      <c r="M303" s="1">
        <f>C303/$B303-1</f>
        <v>-0.63233557885964309</v>
      </c>
      <c r="N303" s="1">
        <f>D303/$B303-1</f>
        <v>-0.55936176123341896</v>
      </c>
      <c r="O303" s="1">
        <f>E303/$B303-1</f>
        <v>-6.2278630460448681E-2</v>
      </c>
      <c r="P303">
        <f>_xlfn.RANK.EQ(M303,M$2:M$564)</f>
        <v>260</v>
      </c>
      <c r="Q303">
        <f>_xlfn.RANK.EQ(N303,N$2:N$564)</f>
        <v>297</v>
      </c>
      <c r="R303">
        <f>_xlfn.RANK.EQ(O303,O$2:O$564)</f>
        <v>339</v>
      </c>
      <c r="S303">
        <f>SUM(P303:R303)</f>
        <v>896</v>
      </c>
      <c r="T303">
        <f>_xlfn.RANK.EQ(S303,S$2:S$564, 1)</f>
        <v>302</v>
      </c>
    </row>
    <row r="304" spans="1:20" x14ac:dyDescent="0.35">
      <c r="A304" t="s">
        <v>477</v>
      </c>
      <c r="B304">
        <v>135.11000000000001</v>
      </c>
      <c r="C304">
        <v>51.01</v>
      </c>
      <c r="D304">
        <v>63.3</v>
      </c>
      <c r="E304">
        <v>108.83</v>
      </c>
      <c r="F304">
        <v>10.48</v>
      </c>
      <c r="G304">
        <v>1</v>
      </c>
      <c r="H304">
        <v>2</v>
      </c>
      <c r="I304">
        <v>5</v>
      </c>
      <c r="J304">
        <v>0</v>
      </c>
      <c r="K304">
        <v>1</v>
      </c>
      <c r="L304">
        <v>2</v>
      </c>
      <c r="M304" s="1">
        <f>C304/$B304-1</f>
        <v>-0.62245577677448005</v>
      </c>
      <c r="N304" s="1">
        <f>D304/$B304-1</f>
        <v>-0.53149285767152699</v>
      </c>
      <c r="O304" s="1">
        <f>E304/$B304-1</f>
        <v>-0.19450817852120506</v>
      </c>
      <c r="P304">
        <f>_xlfn.RANK.EQ(M304,M$2:M$564)</f>
        <v>245</v>
      </c>
      <c r="Q304">
        <f>_xlfn.RANK.EQ(N304,N$2:N$564)</f>
        <v>275</v>
      </c>
      <c r="R304">
        <f>_xlfn.RANK.EQ(O304,O$2:O$564)</f>
        <v>379</v>
      </c>
      <c r="S304">
        <f>SUM(P304:R304)</f>
        <v>899</v>
      </c>
      <c r="T304">
        <f>_xlfn.RANK.EQ(S304,S$2:S$564, 1)</f>
        <v>303</v>
      </c>
    </row>
    <row r="305" spans="1:20" x14ac:dyDescent="0.35">
      <c r="A305" t="s">
        <v>318</v>
      </c>
      <c r="B305">
        <v>188.82</v>
      </c>
      <c r="C305">
        <v>62.13</v>
      </c>
      <c r="D305">
        <v>82.28</v>
      </c>
      <c r="E305">
        <v>192.51</v>
      </c>
      <c r="F305">
        <v>11.89</v>
      </c>
      <c r="G305">
        <v>1</v>
      </c>
      <c r="H305">
        <v>3</v>
      </c>
      <c r="I305">
        <v>6</v>
      </c>
      <c r="J305">
        <v>0</v>
      </c>
      <c r="K305">
        <v>0</v>
      </c>
      <c r="L305">
        <v>2</v>
      </c>
      <c r="M305" s="1">
        <f>C305/$B305-1</f>
        <v>-0.67095646647600882</v>
      </c>
      <c r="N305" s="1">
        <f>D305/$B305-1</f>
        <v>-0.56424107615718677</v>
      </c>
      <c r="O305" s="1">
        <f>E305/$B305-1</f>
        <v>1.9542421353670125E-2</v>
      </c>
      <c r="P305">
        <f>_xlfn.RANK.EQ(M305,M$2:M$564)</f>
        <v>286</v>
      </c>
      <c r="Q305">
        <f>_xlfn.RANK.EQ(N305,N$2:N$564)</f>
        <v>300</v>
      </c>
      <c r="R305">
        <f>_xlfn.RANK.EQ(O305,O$2:O$564)</f>
        <v>314</v>
      </c>
      <c r="S305">
        <f>SUM(P305:R305)</f>
        <v>900</v>
      </c>
      <c r="T305">
        <f>_xlfn.RANK.EQ(S305,S$2:S$564, 1)</f>
        <v>304</v>
      </c>
    </row>
    <row r="306" spans="1:20" x14ac:dyDescent="0.35">
      <c r="A306" t="s">
        <v>518</v>
      </c>
      <c r="B306">
        <v>615.86</v>
      </c>
      <c r="C306">
        <v>261.52999999999997</v>
      </c>
      <c r="D306">
        <v>261.77</v>
      </c>
      <c r="E306">
        <v>482.11</v>
      </c>
      <c r="F306">
        <v>11.45</v>
      </c>
      <c r="G306">
        <v>-3</v>
      </c>
      <c r="H306">
        <v>1</v>
      </c>
      <c r="I306">
        <v>5</v>
      </c>
      <c r="J306">
        <v>0</v>
      </c>
      <c r="K306">
        <v>0</v>
      </c>
      <c r="L306">
        <v>2</v>
      </c>
      <c r="M306" s="1">
        <f>C306/$B306-1</f>
        <v>-0.57534179846068922</v>
      </c>
      <c r="N306" s="1">
        <f>D306/$B306-1</f>
        <v>-0.57495209950313386</v>
      </c>
      <c r="O306" s="1">
        <f>E306/$B306-1</f>
        <v>-0.21717598155424933</v>
      </c>
      <c r="P306">
        <f>_xlfn.RANK.EQ(M306,M$2:M$564)</f>
        <v>210</v>
      </c>
      <c r="Q306">
        <f>_xlfn.RANK.EQ(N306,N$2:N$564)</f>
        <v>308</v>
      </c>
      <c r="R306">
        <f>_xlfn.RANK.EQ(O306,O$2:O$564)</f>
        <v>386</v>
      </c>
      <c r="S306">
        <f>SUM(P306:R306)</f>
        <v>904</v>
      </c>
      <c r="T306">
        <f>_xlfn.RANK.EQ(S306,S$2:S$564, 1)</f>
        <v>305</v>
      </c>
    </row>
    <row r="307" spans="1:20" x14ac:dyDescent="0.35">
      <c r="A307" t="s">
        <v>29</v>
      </c>
      <c r="B307">
        <v>271.83</v>
      </c>
      <c r="C307">
        <v>110.78</v>
      </c>
      <c r="D307">
        <v>119.78</v>
      </c>
      <c r="E307">
        <v>208.1</v>
      </c>
      <c r="F307">
        <v>10.26</v>
      </c>
      <c r="G307">
        <v>-2</v>
      </c>
      <c r="H307">
        <v>1</v>
      </c>
      <c r="I307">
        <v>5</v>
      </c>
      <c r="J307">
        <v>0</v>
      </c>
      <c r="K307">
        <v>1</v>
      </c>
      <c r="L307">
        <v>2</v>
      </c>
      <c r="M307" s="1">
        <f>C307/$B307-1</f>
        <v>-0.59246587940992534</v>
      </c>
      <c r="N307" s="1">
        <f>D307/$B307-1</f>
        <v>-0.5593569510355737</v>
      </c>
      <c r="O307" s="1">
        <f>E307/$B307-1</f>
        <v>-0.23444800058860316</v>
      </c>
      <c r="P307">
        <f>_xlfn.RANK.EQ(M307,M$2:M$564)</f>
        <v>219</v>
      </c>
      <c r="Q307">
        <f>_xlfn.RANK.EQ(N307,N$2:N$564)</f>
        <v>296</v>
      </c>
      <c r="R307">
        <f>_xlfn.RANK.EQ(O307,O$2:O$564)</f>
        <v>392</v>
      </c>
      <c r="S307">
        <f>SUM(P307:R307)</f>
        <v>907</v>
      </c>
      <c r="T307">
        <f>_xlfn.RANK.EQ(S307,S$2:S$564, 1)</f>
        <v>306</v>
      </c>
    </row>
    <row r="308" spans="1:20" x14ac:dyDescent="0.35">
      <c r="A308" t="s">
        <v>72</v>
      </c>
      <c r="B308">
        <v>422.69</v>
      </c>
      <c r="C308">
        <v>154.84</v>
      </c>
      <c r="D308">
        <v>194.25</v>
      </c>
      <c r="E308">
        <v>362.59</v>
      </c>
      <c r="F308">
        <v>10.48</v>
      </c>
      <c r="G308">
        <v>0</v>
      </c>
      <c r="H308">
        <v>2</v>
      </c>
      <c r="I308">
        <v>5</v>
      </c>
      <c r="J308">
        <v>0</v>
      </c>
      <c r="K308">
        <v>1</v>
      </c>
      <c r="L308">
        <v>2</v>
      </c>
      <c r="M308" s="1">
        <f>C308/$B308-1</f>
        <v>-0.63367952873264088</v>
      </c>
      <c r="N308" s="1">
        <f>D308/$B308-1</f>
        <v>-0.54044335091911333</v>
      </c>
      <c r="O308" s="1">
        <f>E308/$B308-1</f>
        <v>-0.14218457971563092</v>
      </c>
      <c r="P308">
        <f>_xlfn.RANK.EQ(M308,M$2:M$564)</f>
        <v>263</v>
      </c>
      <c r="Q308">
        <f>_xlfn.RANK.EQ(N308,N$2:N$564)</f>
        <v>279</v>
      </c>
      <c r="R308">
        <f>_xlfn.RANK.EQ(O308,O$2:O$564)</f>
        <v>365</v>
      </c>
      <c r="S308">
        <f>SUM(P308:R308)</f>
        <v>907</v>
      </c>
      <c r="T308">
        <f>_xlfn.RANK.EQ(S308,S$2:S$564, 1)</f>
        <v>306</v>
      </c>
    </row>
    <row r="309" spans="1:20" x14ac:dyDescent="0.35">
      <c r="A309" t="s">
        <v>484</v>
      </c>
      <c r="B309">
        <v>410.27</v>
      </c>
      <c r="C309">
        <v>153.84</v>
      </c>
      <c r="D309">
        <v>173.4</v>
      </c>
      <c r="E309">
        <v>380.53</v>
      </c>
      <c r="F309">
        <v>12.15</v>
      </c>
      <c r="G309">
        <v>0</v>
      </c>
      <c r="H309">
        <v>1</v>
      </c>
      <c r="I309">
        <v>5</v>
      </c>
      <c r="J309">
        <v>0</v>
      </c>
      <c r="K309">
        <v>0</v>
      </c>
      <c r="L309">
        <v>2</v>
      </c>
      <c r="M309" s="1">
        <f>C309/$B309-1</f>
        <v>-0.6250274209666804</v>
      </c>
      <c r="N309" s="1">
        <f>D309/$B309-1</f>
        <v>-0.57735150023155479</v>
      </c>
      <c r="O309" s="1">
        <f>E309/$B309-1</f>
        <v>-7.2488848806883333E-2</v>
      </c>
      <c r="P309">
        <f>_xlfn.RANK.EQ(M309,M$2:M$564)</f>
        <v>250</v>
      </c>
      <c r="Q309">
        <f>_xlfn.RANK.EQ(N309,N$2:N$564)</f>
        <v>313</v>
      </c>
      <c r="R309">
        <f>_xlfn.RANK.EQ(O309,O$2:O$564)</f>
        <v>346</v>
      </c>
      <c r="S309">
        <f>SUM(P309:R309)</f>
        <v>909</v>
      </c>
      <c r="T309">
        <f>_xlfn.RANK.EQ(S309,S$2:S$564, 1)</f>
        <v>308</v>
      </c>
    </row>
    <row r="310" spans="1:20" x14ac:dyDescent="0.35">
      <c r="A310" t="s">
        <v>245</v>
      </c>
      <c r="B310">
        <v>157.87</v>
      </c>
      <c r="C310">
        <v>63.16</v>
      </c>
      <c r="D310">
        <v>70.05</v>
      </c>
      <c r="E310">
        <v>120.73</v>
      </c>
      <c r="F310">
        <v>11.21</v>
      </c>
      <c r="G310">
        <v>0</v>
      </c>
      <c r="H310">
        <v>1</v>
      </c>
      <c r="I310">
        <v>5</v>
      </c>
      <c r="J310">
        <v>0</v>
      </c>
      <c r="K310">
        <v>1</v>
      </c>
      <c r="L310">
        <v>2</v>
      </c>
      <c r="M310" s="1">
        <f>C310/$B310-1</f>
        <v>-0.59992398809146774</v>
      </c>
      <c r="N310" s="1">
        <f>D310/$B310-1</f>
        <v>-0.55628048394248442</v>
      </c>
      <c r="O310" s="1">
        <f>E310/$B310-1</f>
        <v>-0.23525685690758213</v>
      </c>
      <c r="P310">
        <f>_xlfn.RANK.EQ(M310,M$2:M$564)</f>
        <v>227</v>
      </c>
      <c r="Q310">
        <f>_xlfn.RANK.EQ(N310,N$2:N$564)</f>
        <v>293</v>
      </c>
      <c r="R310">
        <f>_xlfn.RANK.EQ(O310,O$2:O$564)</f>
        <v>393</v>
      </c>
      <c r="S310">
        <f>SUM(P310:R310)</f>
        <v>913</v>
      </c>
      <c r="T310">
        <f>_xlfn.RANK.EQ(S310,S$2:S$564, 1)</f>
        <v>309</v>
      </c>
    </row>
    <row r="311" spans="1:20" x14ac:dyDescent="0.35">
      <c r="A311" t="s">
        <v>151</v>
      </c>
      <c r="B311">
        <v>50.41</v>
      </c>
      <c r="C311">
        <v>19.02</v>
      </c>
      <c r="D311">
        <v>20.81</v>
      </c>
      <c r="E311">
        <v>46.56</v>
      </c>
      <c r="F311">
        <v>11.69</v>
      </c>
      <c r="G311">
        <v>-2</v>
      </c>
      <c r="H311">
        <v>1</v>
      </c>
      <c r="I311">
        <v>5</v>
      </c>
      <c r="J311">
        <v>0</v>
      </c>
      <c r="K311">
        <v>1</v>
      </c>
      <c r="L311">
        <v>2</v>
      </c>
      <c r="M311" s="1">
        <f>C311/$B311-1</f>
        <v>-0.62269390993850426</v>
      </c>
      <c r="N311" s="1">
        <f>D311/$B311-1</f>
        <v>-0.5871850823249356</v>
      </c>
      <c r="O311" s="1">
        <f>E311/$B311-1</f>
        <v>-7.6373735369966167E-2</v>
      </c>
      <c r="P311">
        <f>_xlfn.RANK.EQ(M311,M$2:M$564)</f>
        <v>246</v>
      </c>
      <c r="Q311">
        <f>_xlfn.RANK.EQ(N311,N$2:N$564)</f>
        <v>321</v>
      </c>
      <c r="R311">
        <f>_xlfn.RANK.EQ(O311,O$2:O$564)</f>
        <v>347</v>
      </c>
      <c r="S311">
        <f>SUM(P311:R311)</f>
        <v>914</v>
      </c>
      <c r="T311">
        <f>_xlfn.RANK.EQ(S311,S$2:S$564, 1)</f>
        <v>310</v>
      </c>
    </row>
    <row r="312" spans="1:20" x14ac:dyDescent="0.35">
      <c r="A312" t="s">
        <v>497</v>
      </c>
      <c r="B312">
        <v>134.84</v>
      </c>
      <c r="C312">
        <v>30.23</v>
      </c>
      <c r="D312">
        <v>54.45</v>
      </c>
      <c r="E312">
        <v>211.28</v>
      </c>
      <c r="F312">
        <v>10.75</v>
      </c>
      <c r="G312">
        <v>2</v>
      </c>
      <c r="H312">
        <v>8</v>
      </c>
      <c r="I312">
        <v>13</v>
      </c>
      <c r="J312">
        <v>0</v>
      </c>
      <c r="K312">
        <v>1</v>
      </c>
      <c r="L312">
        <v>2</v>
      </c>
      <c r="M312" s="1">
        <f>C312/$B312-1</f>
        <v>-0.77580836547018683</v>
      </c>
      <c r="N312" s="1">
        <f>D312/$B312-1</f>
        <v>-0.59618807475526547</v>
      </c>
      <c r="O312" s="1">
        <f>E312/$B312-1</f>
        <v>0.56689409670720847</v>
      </c>
      <c r="P312">
        <f>_xlfn.RANK.EQ(M312,M$2:M$564)</f>
        <v>378</v>
      </c>
      <c r="Q312">
        <f>_xlfn.RANK.EQ(N312,N$2:N$564)</f>
        <v>327</v>
      </c>
      <c r="R312">
        <f>_xlfn.RANK.EQ(O312,O$2:O$564)</f>
        <v>210</v>
      </c>
      <c r="S312">
        <f>SUM(P312:R312)</f>
        <v>915</v>
      </c>
      <c r="T312">
        <f>_xlfn.RANK.EQ(S312,S$2:S$564, 1)</f>
        <v>311</v>
      </c>
    </row>
    <row r="313" spans="1:20" x14ac:dyDescent="0.35">
      <c r="A313" t="s">
        <v>78</v>
      </c>
      <c r="B313">
        <v>66.53</v>
      </c>
      <c r="C313">
        <v>24.52</v>
      </c>
      <c r="D313">
        <v>29.79</v>
      </c>
      <c r="E313">
        <v>55.28</v>
      </c>
      <c r="F313">
        <v>11.23</v>
      </c>
      <c r="G313">
        <v>1</v>
      </c>
      <c r="H313">
        <v>2</v>
      </c>
      <c r="I313">
        <v>5</v>
      </c>
      <c r="J313">
        <v>0</v>
      </c>
      <c r="K313">
        <v>1</v>
      </c>
      <c r="L313">
        <v>2</v>
      </c>
      <c r="M313" s="1">
        <f>C313/$B313-1</f>
        <v>-0.63144446114534802</v>
      </c>
      <c r="N313" s="1">
        <f>D313/$B313-1</f>
        <v>-0.55223207575529831</v>
      </c>
      <c r="O313" s="1">
        <f>E313/$B313-1</f>
        <v>-0.16909664812866376</v>
      </c>
      <c r="P313">
        <f>_xlfn.RANK.EQ(M313,M$2:M$564)</f>
        <v>259</v>
      </c>
      <c r="Q313">
        <f>_xlfn.RANK.EQ(N313,N$2:N$564)</f>
        <v>288</v>
      </c>
      <c r="R313">
        <f>_xlfn.RANK.EQ(O313,O$2:O$564)</f>
        <v>372</v>
      </c>
      <c r="S313">
        <f>SUM(P313:R313)</f>
        <v>919</v>
      </c>
      <c r="T313">
        <f>_xlfn.RANK.EQ(S313,S$2:S$564, 1)</f>
        <v>312</v>
      </c>
    </row>
    <row r="314" spans="1:20" x14ac:dyDescent="0.35">
      <c r="A314" t="s">
        <v>199</v>
      </c>
      <c r="B314">
        <v>37.630000000000003</v>
      </c>
      <c r="C314">
        <v>16.29</v>
      </c>
      <c r="D314">
        <v>16.989999999999998</v>
      </c>
      <c r="E314">
        <v>22.03</v>
      </c>
      <c r="F314">
        <v>11.13</v>
      </c>
      <c r="G314">
        <v>-3</v>
      </c>
      <c r="H314">
        <v>1</v>
      </c>
      <c r="I314">
        <v>5</v>
      </c>
      <c r="J314">
        <v>1</v>
      </c>
      <c r="K314">
        <v>2</v>
      </c>
      <c r="L314">
        <v>4</v>
      </c>
      <c r="M314" s="1">
        <f>C314/$B314-1</f>
        <v>-0.56710071751262303</v>
      </c>
      <c r="N314" s="1">
        <f>D314/$B314-1</f>
        <v>-0.54849853840021268</v>
      </c>
      <c r="O314" s="1">
        <f>E314/$B314-1</f>
        <v>-0.41456284879085836</v>
      </c>
      <c r="P314">
        <f>_xlfn.RANK.EQ(M314,M$2:M$564)</f>
        <v>204</v>
      </c>
      <c r="Q314">
        <f>_xlfn.RANK.EQ(N314,N$2:N$564)</f>
        <v>284</v>
      </c>
      <c r="R314">
        <f>_xlfn.RANK.EQ(O314,O$2:O$564)</f>
        <v>435</v>
      </c>
      <c r="S314">
        <f>SUM(P314:R314)</f>
        <v>923</v>
      </c>
      <c r="T314">
        <f>_xlfn.RANK.EQ(S314,S$2:S$564, 1)</f>
        <v>313</v>
      </c>
    </row>
    <row r="315" spans="1:20" x14ac:dyDescent="0.35">
      <c r="A315" t="s">
        <v>51</v>
      </c>
      <c r="B315">
        <v>492.26</v>
      </c>
      <c r="C315">
        <v>135.54</v>
      </c>
      <c r="D315">
        <v>177.04</v>
      </c>
      <c r="E315">
        <v>692.98</v>
      </c>
      <c r="F315">
        <v>13.97</v>
      </c>
      <c r="G315">
        <v>1</v>
      </c>
      <c r="H315">
        <v>5</v>
      </c>
      <c r="I315">
        <v>8</v>
      </c>
      <c r="J315">
        <v>0</v>
      </c>
      <c r="K315">
        <v>0</v>
      </c>
      <c r="L315">
        <v>2</v>
      </c>
      <c r="M315" s="1">
        <f>C315/$B315-1</f>
        <v>-0.72465770121480522</v>
      </c>
      <c r="N315" s="1">
        <f>D315/$B315-1</f>
        <v>-0.64035265916385653</v>
      </c>
      <c r="O315" s="1">
        <f>E315/$B315-1</f>
        <v>0.40775200097509456</v>
      </c>
      <c r="P315">
        <f>_xlfn.RANK.EQ(M315,M$2:M$564)</f>
        <v>339</v>
      </c>
      <c r="Q315">
        <f>_xlfn.RANK.EQ(N315,N$2:N$564)</f>
        <v>348</v>
      </c>
      <c r="R315">
        <f>_xlfn.RANK.EQ(O315,O$2:O$564)</f>
        <v>237</v>
      </c>
      <c r="S315">
        <f>SUM(P315:R315)</f>
        <v>924</v>
      </c>
      <c r="T315">
        <f>_xlfn.RANK.EQ(S315,S$2:S$564, 1)</f>
        <v>314</v>
      </c>
    </row>
    <row r="316" spans="1:20" x14ac:dyDescent="0.35">
      <c r="A316" t="s">
        <v>182</v>
      </c>
      <c r="B316">
        <v>813.87</v>
      </c>
      <c r="C316">
        <v>255.68</v>
      </c>
      <c r="D316">
        <v>372.94</v>
      </c>
      <c r="E316">
        <v>764.97</v>
      </c>
      <c r="F316">
        <v>6.84</v>
      </c>
      <c r="G316">
        <v>0</v>
      </c>
      <c r="H316">
        <v>1</v>
      </c>
      <c r="I316">
        <v>5</v>
      </c>
      <c r="J316">
        <v>1</v>
      </c>
      <c r="K316">
        <v>2</v>
      </c>
      <c r="L316">
        <v>4</v>
      </c>
      <c r="M316" s="1">
        <f>C316/$B316-1</f>
        <v>-0.68584663398331425</v>
      </c>
      <c r="N316" s="1">
        <f>D316/$B316-1</f>
        <v>-0.54176957007875948</v>
      </c>
      <c r="O316" s="1">
        <f>E316/$B316-1</f>
        <v>-6.0083305687640531E-2</v>
      </c>
      <c r="P316">
        <f>_xlfn.RANK.EQ(M316,M$2:M$564)</f>
        <v>305</v>
      </c>
      <c r="Q316">
        <f>_xlfn.RANK.EQ(N316,N$2:N$564)</f>
        <v>281</v>
      </c>
      <c r="R316">
        <f>_xlfn.RANK.EQ(O316,O$2:O$564)</f>
        <v>338</v>
      </c>
      <c r="S316">
        <f>SUM(P316:R316)</f>
        <v>924</v>
      </c>
      <c r="T316">
        <f>_xlfn.RANK.EQ(S316,S$2:S$564, 1)</f>
        <v>314</v>
      </c>
    </row>
    <row r="317" spans="1:20" x14ac:dyDescent="0.35">
      <c r="A317" t="s">
        <v>75</v>
      </c>
      <c r="B317">
        <v>157.11000000000001</v>
      </c>
      <c r="C317">
        <v>60.43</v>
      </c>
      <c r="D317">
        <v>64.94</v>
      </c>
      <c r="E317">
        <v>135.18</v>
      </c>
      <c r="F317">
        <v>11.63</v>
      </c>
      <c r="G317">
        <v>-1</v>
      </c>
      <c r="H317">
        <v>1</v>
      </c>
      <c r="I317">
        <v>5</v>
      </c>
      <c r="J317">
        <v>0</v>
      </c>
      <c r="K317">
        <v>0</v>
      </c>
      <c r="L317">
        <v>2</v>
      </c>
      <c r="M317" s="1">
        <f>C317/$B317-1</f>
        <v>-0.61536503087009109</v>
      </c>
      <c r="N317" s="1">
        <f>D317/$B317-1</f>
        <v>-0.58665902870600228</v>
      </c>
      <c r="O317" s="1">
        <f>E317/$B317-1</f>
        <v>-0.13958373114378464</v>
      </c>
      <c r="P317">
        <f>_xlfn.RANK.EQ(M317,M$2:M$564)</f>
        <v>242</v>
      </c>
      <c r="Q317">
        <f>_xlfn.RANK.EQ(N317,N$2:N$564)</f>
        <v>320</v>
      </c>
      <c r="R317">
        <f>_xlfn.RANK.EQ(O317,O$2:O$564)</f>
        <v>364</v>
      </c>
      <c r="S317">
        <f>SUM(P317:R317)</f>
        <v>926</v>
      </c>
      <c r="T317">
        <f>_xlfn.RANK.EQ(S317,S$2:S$564, 1)</f>
        <v>316</v>
      </c>
    </row>
    <row r="318" spans="1:20" x14ac:dyDescent="0.35">
      <c r="A318" t="s">
        <v>146</v>
      </c>
      <c r="B318">
        <v>431.52</v>
      </c>
      <c r="C318">
        <v>176.57</v>
      </c>
      <c r="D318">
        <v>179.56</v>
      </c>
      <c r="E318">
        <v>328.12</v>
      </c>
      <c r="F318">
        <v>11.19</v>
      </c>
      <c r="G318">
        <v>-3</v>
      </c>
      <c r="H318">
        <v>1</v>
      </c>
      <c r="I318">
        <v>5</v>
      </c>
      <c r="J318">
        <v>0</v>
      </c>
      <c r="K318">
        <v>1</v>
      </c>
      <c r="L318">
        <v>2</v>
      </c>
      <c r="M318" s="1">
        <f>C318/$B318-1</f>
        <v>-0.59081850203930286</v>
      </c>
      <c r="N318" s="1">
        <f>D318/$B318-1</f>
        <v>-0.58388950685947338</v>
      </c>
      <c r="O318" s="1">
        <f>E318/$B318-1</f>
        <v>-0.23961809417871704</v>
      </c>
      <c r="P318">
        <f>_xlfn.RANK.EQ(M318,M$2:M$564)</f>
        <v>216</v>
      </c>
      <c r="Q318">
        <f>_xlfn.RANK.EQ(N318,N$2:N$564)</f>
        <v>318</v>
      </c>
      <c r="R318">
        <f>_xlfn.RANK.EQ(O318,O$2:O$564)</f>
        <v>397</v>
      </c>
      <c r="S318">
        <f>SUM(P318:R318)</f>
        <v>931</v>
      </c>
      <c r="T318">
        <f>_xlfn.RANK.EQ(S318,S$2:S$564, 1)</f>
        <v>317</v>
      </c>
    </row>
    <row r="319" spans="1:20" x14ac:dyDescent="0.35">
      <c r="A319" t="s">
        <v>487</v>
      </c>
      <c r="B319">
        <v>512.53</v>
      </c>
      <c r="C319">
        <v>120.91</v>
      </c>
      <c r="D319">
        <v>200.3</v>
      </c>
      <c r="E319">
        <v>731.96</v>
      </c>
      <c r="F319">
        <v>11.86</v>
      </c>
      <c r="G319">
        <v>1</v>
      </c>
      <c r="H319">
        <v>6</v>
      </c>
      <c r="I319">
        <v>11</v>
      </c>
      <c r="J319">
        <v>0</v>
      </c>
      <c r="K319">
        <v>0</v>
      </c>
      <c r="L319">
        <v>2</v>
      </c>
      <c r="M319" s="1">
        <f>C319/$B319-1</f>
        <v>-0.76409185803757829</v>
      </c>
      <c r="N319" s="1">
        <f>D319/$B319-1</f>
        <v>-0.60919360817903345</v>
      </c>
      <c r="O319" s="1">
        <f>E319/$B319-1</f>
        <v>0.42813103623202564</v>
      </c>
      <c r="P319">
        <f>_xlfn.RANK.EQ(M319,M$2:M$564)</f>
        <v>367</v>
      </c>
      <c r="Q319">
        <f>_xlfn.RANK.EQ(N319,N$2:N$564)</f>
        <v>333</v>
      </c>
      <c r="R319">
        <f>_xlfn.RANK.EQ(O319,O$2:O$564)</f>
        <v>232</v>
      </c>
      <c r="S319">
        <f>SUM(P319:R319)</f>
        <v>932</v>
      </c>
      <c r="T319">
        <f>_xlfn.RANK.EQ(S319,S$2:S$564, 1)</f>
        <v>318</v>
      </c>
    </row>
    <row r="320" spans="1:20" x14ac:dyDescent="0.35">
      <c r="A320" t="s">
        <v>488</v>
      </c>
      <c r="B320">
        <v>180.28</v>
      </c>
      <c r="C320">
        <v>57.87</v>
      </c>
      <c r="D320">
        <v>62.2</v>
      </c>
      <c r="E320">
        <v>211.25</v>
      </c>
      <c r="F320">
        <v>12.64</v>
      </c>
      <c r="G320">
        <v>-3</v>
      </c>
      <c r="H320">
        <v>1</v>
      </c>
      <c r="I320">
        <v>5</v>
      </c>
      <c r="J320">
        <v>0</v>
      </c>
      <c r="K320">
        <v>0</v>
      </c>
      <c r="L320">
        <v>2</v>
      </c>
      <c r="M320" s="1">
        <f>C320/$B320-1</f>
        <v>-0.6789993343687597</v>
      </c>
      <c r="N320" s="1">
        <f>D320/$B320-1</f>
        <v>-0.65498114044819167</v>
      </c>
      <c r="O320" s="1">
        <f>E320/$B320-1</f>
        <v>0.17178832926558685</v>
      </c>
      <c r="P320">
        <f>_xlfn.RANK.EQ(M320,M$2:M$564)</f>
        <v>295</v>
      </c>
      <c r="Q320">
        <f>_xlfn.RANK.EQ(N320,N$2:N$564)</f>
        <v>355</v>
      </c>
      <c r="R320">
        <f>_xlfn.RANK.EQ(O320,O$2:O$564)</f>
        <v>282</v>
      </c>
      <c r="S320">
        <f>SUM(P320:R320)</f>
        <v>932</v>
      </c>
      <c r="T320">
        <f>_xlfn.RANK.EQ(S320,S$2:S$564, 1)</f>
        <v>318</v>
      </c>
    </row>
    <row r="321" spans="1:20" x14ac:dyDescent="0.35">
      <c r="A321" t="s">
        <v>417</v>
      </c>
      <c r="B321">
        <v>57.29</v>
      </c>
      <c r="C321">
        <v>21.5</v>
      </c>
      <c r="D321">
        <v>23.02</v>
      </c>
      <c r="E321">
        <v>51.42</v>
      </c>
      <c r="F321">
        <v>12.23</v>
      </c>
      <c r="G321">
        <v>-2</v>
      </c>
      <c r="H321">
        <v>1</v>
      </c>
      <c r="I321">
        <v>5</v>
      </c>
      <c r="J321">
        <v>0</v>
      </c>
      <c r="K321">
        <v>1</v>
      </c>
      <c r="L321">
        <v>2</v>
      </c>
      <c r="M321" s="1">
        <f>C321/$B321-1</f>
        <v>-0.6247163553848839</v>
      </c>
      <c r="N321" s="1">
        <f>D321/$B321-1</f>
        <v>-0.59818467446325707</v>
      </c>
      <c r="O321" s="1">
        <f>E321/$B321-1</f>
        <v>-0.10246116250654558</v>
      </c>
      <c r="P321">
        <f>_xlfn.RANK.EQ(M321,M$2:M$564)</f>
        <v>249</v>
      </c>
      <c r="Q321">
        <f>_xlfn.RANK.EQ(N321,N$2:N$564)</f>
        <v>330</v>
      </c>
      <c r="R321">
        <f>_xlfn.RANK.EQ(O321,O$2:O$564)</f>
        <v>354</v>
      </c>
      <c r="S321">
        <f>SUM(P321:R321)</f>
        <v>933</v>
      </c>
      <c r="T321">
        <f>_xlfn.RANK.EQ(S321,S$2:S$564, 1)</f>
        <v>320</v>
      </c>
    </row>
    <row r="322" spans="1:20" x14ac:dyDescent="0.35">
      <c r="A322" t="s">
        <v>127</v>
      </c>
      <c r="B322">
        <v>82.3</v>
      </c>
      <c r="C322">
        <v>26.51</v>
      </c>
      <c r="D322">
        <v>35.21</v>
      </c>
      <c r="E322">
        <v>76.97</v>
      </c>
      <c r="F322">
        <v>11.4</v>
      </c>
      <c r="G322">
        <v>1</v>
      </c>
      <c r="H322">
        <v>4</v>
      </c>
      <c r="I322">
        <v>7</v>
      </c>
      <c r="J322">
        <v>0</v>
      </c>
      <c r="K322">
        <v>0</v>
      </c>
      <c r="L322">
        <v>2</v>
      </c>
      <c r="M322" s="1">
        <f>C322/$B322-1</f>
        <v>-0.67788578371810448</v>
      </c>
      <c r="N322" s="1">
        <f>D322/$B322-1</f>
        <v>-0.57217496962332925</v>
      </c>
      <c r="O322" s="1">
        <f>E322/$B322-1</f>
        <v>-6.4763061968408198E-2</v>
      </c>
      <c r="P322">
        <f>_xlfn.RANK.EQ(M322,M$2:M$564)</f>
        <v>294</v>
      </c>
      <c r="Q322">
        <f>_xlfn.RANK.EQ(N322,N$2:N$564)</f>
        <v>305</v>
      </c>
      <c r="R322">
        <f>_xlfn.RANK.EQ(O322,O$2:O$564)</f>
        <v>340</v>
      </c>
      <c r="S322">
        <f>SUM(P322:R322)</f>
        <v>939</v>
      </c>
      <c r="T322">
        <f>_xlfn.RANK.EQ(S322,S$2:S$564, 1)</f>
        <v>321</v>
      </c>
    </row>
    <row r="323" spans="1:20" x14ac:dyDescent="0.35">
      <c r="A323" t="s">
        <v>459</v>
      </c>
      <c r="B323">
        <v>135.1</v>
      </c>
      <c r="C323">
        <v>27.08</v>
      </c>
      <c r="D323">
        <v>50.97</v>
      </c>
      <c r="E323">
        <v>230.09</v>
      </c>
      <c r="F323">
        <v>11.83</v>
      </c>
      <c r="G323">
        <v>2</v>
      </c>
      <c r="H323">
        <v>7</v>
      </c>
      <c r="I323">
        <v>12</v>
      </c>
      <c r="J323">
        <v>0</v>
      </c>
      <c r="K323">
        <v>0</v>
      </c>
      <c r="L323">
        <v>2</v>
      </c>
      <c r="M323" s="1">
        <f>C323/$B323-1</f>
        <v>-0.79955588452997783</v>
      </c>
      <c r="N323" s="1">
        <f>D323/$B323-1</f>
        <v>-0.62272390821613621</v>
      </c>
      <c r="O323" s="1">
        <f>E323/$B323-1</f>
        <v>0.70310880829015554</v>
      </c>
      <c r="P323">
        <f>_xlfn.RANK.EQ(M323,M$2:M$564)</f>
        <v>397</v>
      </c>
      <c r="Q323">
        <f>_xlfn.RANK.EQ(N323,N$2:N$564)</f>
        <v>342</v>
      </c>
      <c r="R323">
        <f>_xlfn.RANK.EQ(O323,O$2:O$564)</f>
        <v>201</v>
      </c>
      <c r="S323">
        <f>SUM(P323:R323)</f>
        <v>940</v>
      </c>
      <c r="T323">
        <f>_xlfn.RANK.EQ(S323,S$2:S$564, 1)</f>
        <v>322</v>
      </c>
    </row>
    <row r="324" spans="1:20" x14ac:dyDescent="0.35">
      <c r="A324" t="s">
        <v>58</v>
      </c>
      <c r="B324">
        <v>228.15</v>
      </c>
      <c r="C324">
        <v>63.85</v>
      </c>
      <c r="D324">
        <v>99.07</v>
      </c>
      <c r="E324">
        <v>235.61</v>
      </c>
      <c r="F324">
        <v>9.9</v>
      </c>
      <c r="G324">
        <v>1</v>
      </c>
      <c r="H324">
        <v>5</v>
      </c>
      <c r="I324">
        <v>9</v>
      </c>
      <c r="J324">
        <v>0</v>
      </c>
      <c r="K324">
        <v>1</v>
      </c>
      <c r="L324">
        <v>2</v>
      </c>
      <c r="M324" s="1">
        <f>C324/$B324-1</f>
        <v>-0.72014025860179709</v>
      </c>
      <c r="N324" s="1">
        <f>D324/$B324-1</f>
        <v>-0.56576813499890433</v>
      </c>
      <c r="O324" s="1">
        <f>E324/$B324-1</f>
        <v>3.2697786543940399E-2</v>
      </c>
      <c r="P324">
        <f>_xlfn.RANK.EQ(M324,M$2:M$564)</f>
        <v>331</v>
      </c>
      <c r="Q324">
        <f>_xlfn.RANK.EQ(N324,N$2:N$564)</f>
        <v>301</v>
      </c>
      <c r="R324">
        <f>_xlfn.RANK.EQ(O324,O$2:O$564)</f>
        <v>312</v>
      </c>
      <c r="S324">
        <f>SUM(P324:R324)</f>
        <v>944</v>
      </c>
      <c r="T324">
        <f>_xlfn.RANK.EQ(S324,S$2:S$564, 1)</f>
        <v>323</v>
      </c>
    </row>
    <row r="325" spans="1:20" x14ac:dyDescent="0.35">
      <c r="A325" t="s">
        <v>99</v>
      </c>
      <c r="B325">
        <v>544.23</v>
      </c>
      <c r="C325">
        <v>128.32</v>
      </c>
      <c r="D325">
        <v>220.52</v>
      </c>
      <c r="E325">
        <v>719.26</v>
      </c>
      <c r="F325">
        <v>10.86</v>
      </c>
      <c r="G325">
        <v>1</v>
      </c>
      <c r="H325">
        <v>6</v>
      </c>
      <c r="I325">
        <v>11</v>
      </c>
      <c r="J325">
        <v>0</v>
      </c>
      <c r="K325">
        <v>0</v>
      </c>
      <c r="L325">
        <v>2</v>
      </c>
      <c r="M325" s="1">
        <f>C325/$B325-1</f>
        <v>-0.76421733458280505</v>
      </c>
      <c r="N325" s="1">
        <f>D325/$B325-1</f>
        <v>-0.5948036675670213</v>
      </c>
      <c r="O325" s="1">
        <f>E325/$B325-1</f>
        <v>0.32161034856586368</v>
      </c>
      <c r="P325">
        <f>_xlfn.RANK.EQ(M325,M$2:M$564)</f>
        <v>369</v>
      </c>
      <c r="Q325">
        <f>_xlfn.RANK.EQ(N325,N$2:N$564)</f>
        <v>325</v>
      </c>
      <c r="R325">
        <f>_xlfn.RANK.EQ(O325,O$2:O$564)</f>
        <v>251</v>
      </c>
      <c r="S325">
        <f>SUM(P325:R325)</f>
        <v>945</v>
      </c>
      <c r="T325">
        <f>_xlfn.RANK.EQ(S325,S$2:S$564, 1)</f>
        <v>324</v>
      </c>
    </row>
    <row r="326" spans="1:20" x14ac:dyDescent="0.35">
      <c r="A326" t="s">
        <v>178</v>
      </c>
      <c r="B326">
        <v>470.51</v>
      </c>
      <c r="C326">
        <v>185.95</v>
      </c>
      <c r="D326">
        <v>183.75</v>
      </c>
      <c r="E326">
        <v>375.66</v>
      </c>
      <c r="F326">
        <v>12.89</v>
      </c>
      <c r="G326">
        <v>-3</v>
      </c>
      <c r="H326">
        <v>1</v>
      </c>
      <c r="I326">
        <v>5</v>
      </c>
      <c r="J326">
        <v>0</v>
      </c>
      <c r="K326">
        <v>0</v>
      </c>
      <c r="L326">
        <v>2</v>
      </c>
      <c r="M326" s="1">
        <f>C326/$B326-1</f>
        <v>-0.60479054642834373</v>
      </c>
      <c r="N326" s="1">
        <f>D326/$B326-1</f>
        <v>-0.60946632377632781</v>
      </c>
      <c r="O326" s="1">
        <f>E326/$B326-1</f>
        <v>-0.20158976429831454</v>
      </c>
      <c r="P326">
        <f>_xlfn.RANK.EQ(M326,M$2:M$564)</f>
        <v>234</v>
      </c>
      <c r="Q326">
        <f>_xlfn.RANK.EQ(N326,N$2:N$564)</f>
        <v>334</v>
      </c>
      <c r="R326">
        <f>_xlfn.RANK.EQ(O326,O$2:O$564)</f>
        <v>381</v>
      </c>
      <c r="S326">
        <f>SUM(P326:R326)</f>
        <v>949</v>
      </c>
      <c r="T326">
        <f>_xlfn.RANK.EQ(S326,S$2:S$564, 1)</f>
        <v>325</v>
      </c>
    </row>
    <row r="327" spans="1:20" x14ac:dyDescent="0.35">
      <c r="A327" t="s">
        <v>229</v>
      </c>
      <c r="B327">
        <v>266.5</v>
      </c>
      <c r="C327">
        <v>95.04</v>
      </c>
      <c r="D327">
        <v>119.19</v>
      </c>
      <c r="E327">
        <v>204.35</v>
      </c>
      <c r="F327">
        <v>10.29</v>
      </c>
      <c r="G327">
        <v>1</v>
      </c>
      <c r="H327">
        <v>2</v>
      </c>
      <c r="I327">
        <v>5</v>
      </c>
      <c r="J327">
        <v>0</v>
      </c>
      <c r="K327">
        <v>1</v>
      </c>
      <c r="L327">
        <v>2</v>
      </c>
      <c r="M327" s="1">
        <f>C327/$B327-1</f>
        <v>-0.64337711069418391</v>
      </c>
      <c r="N327" s="1">
        <f>D327/$B327-1</f>
        <v>-0.55275797373358349</v>
      </c>
      <c r="O327" s="1">
        <f>E327/$B327-1</f>
        <v>-0.23320825515947474</v>
      </c>
      <c r="P327">
        <f>_xlfn.RANK.EQ(M327,M$2:M$564)</f>
        <v>271</v>
      </c>
      <c r="Q327">
        <f>_xlfn.RANK.EQ(N327,N$2:N$564)</f>
        <v>289</v>
      </c>
      <c r="R327">
        <f>_xlfn.RANK.EQ(O327,O$2:O$564)</f>
        <v>391</v>
      </c>
      <c r="S327">
        <f>SUM(P327:R327)</f>
        <v>951</v>
      </c>
      <c r="T327">
        <f>_xlfn.RANK.EQ(S327,S$2:S$564, 1)</f>
        <v>326</v>
      </c>
    </row>
    <row r="328" spans="1:20" x14ac:dyDescent="0.35">
      <c r="A328" t="s">
        <v>85</v>
      </c>
      <c r="B328">
        <v>305.39999999999998</v>
      </c>
      <c r="C328">
        <v>116.96</v>
      </c>
      <c r="D328">
        <v>132.49</v>
      </c>
      <c r="E328">
        <v>216.34</v>
      </c>
      <c r="F328">
        <v>10.16</v>
      </c>
      <c r="G328">
        <v>0</v>
      </c>
      <c r="H328">
        <v>1</v>
      </c>
      <c r="I328">
        <v>5</v>
      </c>
      <c r="J328">
        <v>0</v>
      </c>
      <c r="K328">
        <v>1</v>
      </c>
      <c r="L328">
        <v>2</v>
      </c>
      <c r="M328" s="1">
        <f>C328/$B328-1</f>
        <v>-0.61702685003274393</v>
      </c>
      <c r="N328" s="1">
        <f>D328/$B328-1</f>
        <v>-0.56617550753110668</v>
      </c>
      <c r="O328" s="1">
        <f>E328/$B328-1</f>
        <v>-0.29161755075311058</v>
      </c>
      <c r="P328">
        <f>_xlfn.RANK.EQ(M328,M$2:M$564)</f>
        <v>243</v>
      </c>
      <c r="Q328">
        <f>_xlfn.RANK.EQ(N328,N$2:N$564)</f>
        <v>302</v>
      </c>
      <c r="R328">
        <f>_xlfn.RANK.EQ(O328,O$2:O$564)</f>
        <v>408</v>
      </c>
      <c r="S328">
        <f>SUM(P328:R328)</f>
        <v>953</v>
      </c>
      <c r="T328">
        <f>_xlfn.RANK.EQ(S328,S$2:S$564, 1)</f>
        <v>327</v>
      </c>
    </row>
    <row r="329" spans="1:20" x14ac:dyDescent="0.35">
      <c r="A329" t="s">
        <v>485</v>
      </c>
      <c r="B329">
        <v>101.72</v>
      </c>
      <c r="C329">
        <v>36.9</v>
      </c>
      <c r="D329">
        <v>40.93</v>
      </c>
      <c r="E329">
        <v>89.82</v>
      </c>
      <c r="F329">
        <v>12.72</v>
      </c>
      <c r="G329">
        <v>0</v>
      </c>
      <c r="H329">
        <v>1</v>
      </c>
      <c r="I329">
        <v>5</v>
      </c>
      <c r="J329">
        <v>0</v>
      </c>
      <c r="K329">
        <v>0</v>
      </c>
      <c r="L329">
        <v>2</v>
      </c>
      <c r="M329" s="1">
        <f>C329/$B329-1</f>
        <v>-0.63723948092803773</v>
      </c>
      <c r="N329" s="1">
        <f>D329/$B329-1</f>
        <v>-0.59762092017302404</v>
      </c>
      <c r="O329" s="1">
        <f>E329/$B329-1</f>
        <v>-0.11698780967361389</v>
      </c>
      <c r="P329">
        <f>_xlfn.RANK.EQ(M329,M$2:M$564)</f>
        <v>266</v>
      </c>
      <c r="Q329">
        <f>_xlfn.RANK.EQ(N329,N$2:N$564)</f>
        <v>328</v>
      </c>
      <c r="R329">
        <f>_xlfn.RANK.EQ(O329,O$2:O$564)</f>
        <v>359</v>
      </c>
      <c r="S329">
        <f>SUM(P329:R329)</f>
        <v>953</v>
      </c>
      <c r="T329">
        <f>_xlfn.RANK.EQ(S329,S$2:S$564, 1)</f>
        <v>327</v>
      </c>
    </row>
    <row r="330" spans="1:20" x14ac:dyDescent="0.35">
      <c r="A330" t="s">
        <v>456</v>
      </c>
      <c r="B330">
        <v>263.36</v>
      </c>
      <c r="C330">
        <v>102</v>
      </c>
      <c r="D330">
        <v>111.53</v>
      </c>
      <c r="E330">
        <v>188.28</v>
      </c>
      <c r="F330">
        <v>10.37</v>
      </c>
      <c r="G330">
        <v>-1</v>
      </c>
      <c r="H330">
        <v>1</v>
      </c>
      <c r="I330">
        <v>5</v>
      </c>
      <c r="J330">
        <v>0</v>
      </c>
      <c r="K330">
        <v>1</v>
      </c>
      <c r="L330">
        <v>2</v>
      </c>
      <c r="M330" s="1">
        <f>C330/$B330-1</f>
        <v>-0.61269744835965978</v>
      </c>
      <c r="N330" s="1">
        <f>D330/$B330-1</f>
        <v>-0.57651123936816528</v>
      </c>
      <c r="O330" s="1">
        <f>E330/$B330-1</f>
        <v>-0.28508505467800738</v>
      </c>
      <c r="P330">
        <f>_xlfn.RANK.EQ(M330,M$2:M$564)</f>
        <v>239</v>
      </c>
      <c r="Q330">
        <f>_xlfn.RANK.EQ(N330,N$2:N$564)</f>
        <v>312</v>
      </c>
      <c r="R330">
        <f>_xlfn.RANK.EQ(O330,O$2:O$564)</f>
        <v>406</v>
      </c>
      <c r="S330">
        <f>SUM(P330:R330)</f>
        <v>957</v>
      </c>
      <c r="T330">
        <f>_xlfn.RANK.EQ(S330,S$2:S$564, 1)</f>
        <v>329</v>
      </c>
    </row>
    <row r="331" spans="1:20" x14ac:dyDescent="0.35">
      <c r="A331" t="s">
        <v>145</v>
      </c>
      <c r="B331">
        <v>209.7</v>
      </c>
      <c r="C331">
        <v>66.180000000000007</v>
      </c>
      <c r="D331">
        <v>88.81</v>
      </c>
      <c r="E331">
        <v>194.51</v>
      </c>
      <c r="F331">
        <v>11.4</v>
      </c>
      <c r="G331">
        <v>1</v>
      </c>
      <c r="H331">
        <v>3</v>
      </c>
      <c r="I331">
        <v>6</v>
      </c>
      <c r="J331">
        <v>0</v>
      </c>
      <c r="K331">
        <v>0</v>
      </c>
      <c r="L331">
        <v>2</v>
      </c>
      <c r="M331" s="1">
        <f>C331/$B331-1</f>
        <v>-0.68440629470672376</v>
      </c>
      <c r="N331" s="1">
        <f>D331/$B331-1</f>
        <v>-0.57649022412970907</v>
      </c>
      <c r="O331" s="1">
        <f>E331/$B331-1</f>
        <v>-7.2436814496900315E-2</v>
      </c>
      <c r="P331">
        <f>_xlfn.RANK.EQ(M331,M$2:M$564)</f>
        <v>302</v>
      </c>
      <c r="Q331">
        <f>_xlfn.RANK.EQ(N331,N$2:N$564)</f>
        <v>311</v>
      </c>
      <c r="R331">
        <f>_xlfn.RANK.EQ(O331,O$2:O$564)</f>
        <v>345</v>
      </c>
      <c r="S331">
        <f>SUM(P331:R331)</f>
        <v>958</v>
      </c>
      <c r="T331">
        <f>_xlfn.RANK.EQ(S331,S$2:S$564, 1)</f>
        <v>330</v>
      </c>
    </row>
    <row r="332" spans="1:20" x14ac:dyDescent="0.35">
      <c r="A332" t="s">
        <v>79</v>
      </c>
      <c r="B332">
        <v>242.76</v>
      </c>
      <c r="C332">
        <v>77.02</v>
      </c>
      <c r="D332">
        <v>102.91</v>
      </c>
      <c r="E332">
        <v>221.21</v>
      </c>
      <c r="F332">
        <v>10.99</v>
      </c>
      <c r="G332">
        <v>1</v>
      </c>
      <c r="H332">
        <v>4</v>
      </c>
      <c r="I332">
        <v>7</v>
      </c>
      <c r="J332">
        <v>0</v>
      </c>
      <c r="K332">
        <v>1</v>
      </c>
      <c r="L332">
        <v>2</v>
      </c>
      <c r="M332" s="1">
        <f>C332/$B332-1</f>
        <v>-0.68273191629593022</v>
      </c>
      <c r="N332" s="1">
        <f>D332/$B332-1</f>
        <v>-0.57608337452628111</v>
      </c>
      <c r="O332" s="1">
        <f>E332/$B332-1</f>
        <v>-8.8770802438622454E-2</v>
      </c>
      <c r="P332">
        <f>_xlfn.RANK.EQ(M332,M$2:M$564)</f>
        <v>301</v>
      </c>
      <c r="Q332">
        <f>_xlfn.RANK.EQ(N332,N$2:N$564)</f>
        <v>310</v>
      </c>
      <c r="R332">
        <f>_xlfn.RANK.EQ(O332,O$2:O$564)</f>
        <v>351</v>
      </c>
      <c r="S332">
        <f>SUM(P332:R332)</f>
        <v>962</v>
      </c>
      <c r="T332">
        <f>_xlfn.RANK.EQ(S332,S$2:S$564, 1)</f>
        <v>331</v>
      </c>
    </row>
    <row r="333" spans="1:20" x14ac:dyDescent="0.35">
      <c r="A333" t="s">
        <v>306</v>
      </c>
      <c r="B333">
        <v>39.950000000000003</v>
      </c>
      <c r="C333">
        <v>3.76</v>
      </c>
      <c r="D333">
        <v>13.11</v>
      </c>
      <c r="E333">
        <v>99.14</v>
      </c>
      <c r="F333">
        <v>8.73</v>
      </c>
      <c r="G333">
        <v>2</v>
      </c>
      <c r="H333">
        <v>10</v>
      </c>
      <c r="I333">
        <v>18</v>
      </c>
      <c r="J333">
        <v>1</v>
      </c>
      <c r="K333">
        <v>5</v>
      </c>
      <c r="L333">
        <v>9</v>
      </c>
      <c r="M333" s="1">
        <f>C333/$B333-1</f>
        <v>-0.90588235294117647</v>
      </c>
      <c r="N333" s="1">
        <f>D333/$B333-1</f>
        <v>-0.67183979974968722</v>
      </c>
      <c r="O333" s="1">
        <f>E333/$B333-1</f>
        <v>1.4816020025031289</v>
      </c>
      <c r="P333">
        <f>_xlfn.RANK.EQ(M333,M$2:M$564)</f>
        <v>471</v>
      </c>
      <c r="Q333">
        <f>_xlfn.RANK.EQ(N333,N$2:N$564)</f>
        <v>366</v>
      </c>
      <c r="R333">
        <f>_xlfn.RANK.EQ(O333,O$2:O$564)</f>
        <v>129</v>
      </c>
      <c r="S333">
        <f>SUM(P333:R333)</f>
        <v>966</v>
      </c>
      <c r="T333">
        <f>_xlfn.RANK.EQ(S333,S$2:S$564, 1)</f>
        <v>332</v>
      </c>
    </row>
    <row r="334" spans="1:20" x14ac:dyDescent="0.35">
      <c r="A334" t="s">
        <v>380</v>
      </c>
      <c r="B334">
        <v>77.569999999999993</v>
      </c>
      <c r="C334">
        <v>25.17</v>
      </c>
      <c r="D334">
        <v>32.5</v>
      </c>
      <c r="E334">
        <v>68.069999999999993</v>
      </c>
      <c r="F334">
        <v>11.39</v>
      </c>
      <c r="G334">
        <v>1</v>
      </c>
      <c r="H334">
        <v>4</v>
      </c>
      <c r="I334">
        <v>7</v>
      </c>
      <c r="J334">
        <v>0</v>
      </c>
      <c r="K334">
        <v>0</v>
      </c>
      <c r="L334">
        <v>2</v>
      </c>
      <c r="M334" s="1">
        <f>C334/$B334-1</f>
        <v>-0.67551888616733269</v>
      </c>
      <c r="N334" s="1">
        <f>D334/$B334-1</f>
        <v>-0.58102359159468864</v>
      </c>
      <c r="O334" s="1">
        <f>E334/$B334-1</f>
        <v>-0.1224700270723218</v>
      </c>
      <c r="P334">
        <f>_xlfn.RANK.EQ(M334,M$2:M$564)</f>
        <v>292</v>
      </c>
      <c r="Q334">
        <f>_xlfn.RANK.EQ(N334,N$2:N$564)</f>
        <v>314</v>
      </c>
      <c r="R334">
        <f>_xlfn.RANK.EQ(O334,O$2:O$564)</f>
        <v>360</v>
      </c>
      <c r="S334">
        <f>SUM(P334:R334)</f>
        <v>966</v>
      </c>
      <c r="T334">
        <f>_xlfn.RANK.EQ(S334,S$2:S$564, 1)</f>
        <v>332</v>
      </c>
    </row>
    <row r="335" spans="1:20" x14ac:dyDescent="0.35">
      <c r="A335" t="s">
        <v>244</v>
      </c>
      <c r="B335">
        <v>218.16</v>
      </c>
      <c r="C335">
        <v>64.67</v>
      </c>
      <c r="D335">
        <v>88.5</v>
      </c>
      <c r="E335">
        <v>214.62</v>
      </c>
      <c r="F335">
        <v>11.7</v>
      </c>
      <c r="G335">
        <v>1</v>
      </c>
      <c r="H335">
        <v>4</v>
      </c>
      <c r="I335">
        <v>6</v>
      </c>
      <c r="J335">
        <v>0</v>
      </c>
      <c r="K335">
        <v>0</v>
      </c>
      <c r="L335">
        <v>2</v>
      </c>
      <c r="M335" s="1">
        <f>C335/$B335-1</f>
        <v>-0.70356618995232856</v>
      </c>
      <c r="N335" s="1">
        <f>D335/$B335-1</f>
        <v>-0.59433443344334425</v>
      </c>
      <c r="O335" s="1">
        <f>E335/$B335-1</f>
        <v>-1.6226622662266155E-2</v>
      </c>
      <c r="P335">
        <f>_xlfn.RANK.EQ(M335,M$2:M$564)</f>
        <v>319</v>
      </c>
      <c r="Q335">
        <f>_xlfn.RANK.EQ(N335,N$2:N$564)</f>
        <v>324</v>
      </c>
      <c r="R335">
        <f>_xlfn.RANK.EQ(O335,O$2:O$564)</f>
        <v>328</v>
      </c>
      <c r="S335">
        <f>SUM(P335:R335)</f>
        <v>971</v>
      </c>
      <c r="T335">
        <f>_xlfn.RANK.EQ(S335,S$2:S$564, 1)</f>
        <v>334</v>
      </c>
    </row>
    <row r="336" spans="1:20" x14ac:dyDescent="0.35">
      <c r="A336" t="s">
        <v>267</v>
      </c>
      <c r="B336">
        <v>24.93</v>
      </c>
      <c r="C336">
        <v>10.38</v>
      </c>
      <c r="D336">
        <v>10.68</v>
      </c>
      <c r="E336">
        <v>12.32</v>
      </c>
      <c r="F336">
        <v>14.72</v>
      </c>
      <c r="G336">
        <v>-3</v>
      </c>
      <c r="H336">
        <v>1</v>
      </c>
      <c r="I336">
        <v>5</v>
      </c>
      <c r="J336">
        <v>0</v>
      </c>
      <c r="K336">
        <v>2</v>
      </c>
      <c r="L336">
        <v>3</v>
      </c>
      <c r="M336" s="1">
        <f>C336/$B336-1</f>
        <v>-0.58363417569193743</v>
      </c>
      <c r="N336" s="1">
        <f>D336/$B336-1</f>
        <v>-0.57160048134777375</v>
      </c>
      <c r="O336" s="1">
        <f>E336/$B336-1</f>
        <v>-0.50581628559967906</v>
      </c>
      <c r="P336">
        <f>_xlfn.RANK.EQ(M336,M$2:M$564)</f>
        <v>214</v>
      </c>
      <c r="Q336">
        <f>_xlfn.RANK.EQ(N336,N$2:N$564)</f>
        <v>304</v>
      </c>
      <c r="R336">
        <f>_xlfn.RANK.EQ(O336,O$2:O$564)</f>
        <v>460</v>
      </c>
      <c r="S336">
        <f>SUM(P336:R336)</f>
        <v>978</v>
      </c>
      <c r="T336">
        <f>_xlfn.RANK.EQ(S336,S$2:S$564, 1)</f>
        <v>335</v>
      </c>
    </row>
    <row r="337" spans="1:20" x14ac:dyDescent="0.35">
      <c r="A337" t="s">
        <v>561</v>
      </c>
      <c r="B337">
        <v>553.89</v>
      </c>
      <c r="C337">
        <v>164.05</v>
      </c>
      <c r="D337">
        <v>218.59</v>
      </c>
      <c r="E337">
        <v>542.20000000000005</v>
      </c>
      <c r="F337">
        <v>11.64</v>
      </c>
      <c r="G337">
        <v>1</v>
      </c>
      <c r="H337">
        <v>3</v>
      </c>
      <c r="I337">
        <v>5</v>
      </c>
      <c r="J337">
        <v>0</v>
      </c>
      <c r="K337">
        <v>0</v>
      </c>
      <c r="L337">
        <v>2</v>
      </c>
      <c r="M337" s="1">
        <f>C337/$B337-1</f>
        <v>-0.70382205853147739</v>
      </c>
      <c r="N337" s="1">
        <f>D337/$B337-1</f>
        <v>-0.60535485385184784</v>
      </c>
      <c r="O337" s="1">
        <f>E337/$B337-1</f>
        <v>-2.110527361028347E-2</v>
      </c>
      <c r="P337">
        <f>_xlfn.RANK.EQ(M337,M$2:M$564)</f>
        <v>320</v>
      </c>
      <c r="Q337">
        <f>_xlfn.RANK.EQ(N337,N$2:N$564)</f>
        <v>331</v>
      </c>
      <c r="R337">
        <f>_xlfn.RANK.EQ(O337,O$2:O$564)</f>
        <v>329</v>
      </c>
      <c r="S337">
        <f>SUM(P337:R337)</f>
        <v>980</v>
      </c>
      <c r="T337">
        <f>_xlfn.RANK.EQ(S337,S$2:S$564, 1)</f>
        <v>336</v>
      </c>
    </row>
    <row r="338" spans="1:20" x14ac:dyDescent="0.35">
      <c r="A338" t="s">
        <v>315</v>
      </c>
      <c r="B338">
        <v>238.17</v>
      </c>
      <c r="C338">
        <v>51.64</v>
      </c>
      <c r="D338">
        <v>84.23</v>
      </c>
      <c r="E338">
        <v>320.70999999999998</v>
      </c>
      <c r="F338">
        <v>11.88</v>
      </c>
      <c r="G338">
        <v>1</v>
      </c>
      <c r="H338">
        <v>6</v>
      </c>
      <c r="I338">
        <v>11</v>
      </c>
      <c r="J338">
        <v>0</v>
      </c>
      <c r="K338">
        <v>0</v>
      </c>
      <c r="L338">
        <v>2</v>
      </c>
      <c r="M338" s="1">
        <f>C338/$B338-1</f>
        <v>-0.7831800814544233</v>
      </c>
      <c r="N338" s="1">
        <f>D338/$B338-1</f>
        <v>-0.64634504765503631</v>
      </c>
      <c r="O338" s="1">
        <f>E338/$B338-1</f>
        <v>0.3465591804173489</v>
      </c>
      <c r="P338">
        <f>_xlfn.RANK.EQ(M338,M$2:M$564)</f>
        <v>385</v>
      </c>
      <c r="Q338">
        <f>_xlfn.RANK.EQ(N338,N$2:N$564)</f>
        <v>352</v>
      </c>
      <c r="R338">
        <f>_xlfn.RANK.EQ(O338,O$2:O$564)</f>
        <v>248</v>
      </c>
      <c r="S338">
        <f>SUM(P338:R338)</f>
        <v>985</v>
      </c>
      <c r="T338">
        <f>_xlfn.RANK.EQ(S338,S$2:S$564, 1)</f>
        <v>337</v>
      </c>
    </row>
    <row r="339" spans="1:20" x14ac:dyDescent="0.35">
      <c r="A339" t="s">
        <v>405</v>
      </c>
      <c r="B339">
        <v>437.43</v>
      </c>
      <c r="C339">
        <v>144.91999999999999</v>
      </c>
      <c r="D339">
        <v>177.11</v>
      </c>
      <c r="E339">
        <v>353.31</v>
      </c>
      <c r="F339">
        <v>11.44</v>
      </c>
      <c r="G339">
        <v>0</v>
      </c>
      <c r="H339">
        <v>2</v>
      </c>
      <c r="I339">
        <v>5</v>
      </c>
      <c r="J339">
        <v>0</v>
      </c>
      <c r="K339">
        <v>0</v>
      </c>
      <c r="L339">
        <v>2</v>
      </c>
      <c r="M339" s="1">
        <f>C339/$B339-1</f>
        <v>-0.66870127791875267</v>
      </c>
      <c r="N339" s="1">
        <f>D339/$B339-1</f>
        <v>-0.5951123608348764</v>
      </c>
      <c r="O339" s="1">
        <f>E339/$B339-1</f>
        <v>-0.19230505452300939</v>
      </c>
      <c r="P339">
        <f>_xlfn.RANK.EQ(M339,M$2:M$564)</f>
        <v>284</v>
      </c>
      <c r="Q339">
        <f>_xlfn.RANK.EQ(N339,N$2:N$564)</f>
        <v>326</v>
      </c>
      <c r="R339">
        <f>_xlfn.RANK.EQ(O339,O$2:O$564)</f>
        <v>378</v>
      </c>
      <c r="S339">
        <f>SUM(P339:R339)</f>
        <v>988</v>
      </c>
      <c r="T339">
        <f>_xlfn.RANK.EQ(S339,S$2:S$564, 1)</f>
        <v>338</v>
      </c>
    </row>
    <row r="340" spans="1:20" x14ac:dyDescent="0.35">
      <c r="A340" t="s">
        <v>109</v>
      </c>
      <c r="B340">
        <v>383.34</v>
      </c>
      <c r="C340">
        <v>105.42</v>
      </c>
      <c r="D340">
        <v>151.06</v>
      </c>
      <c r="E340">
        <v>381.89</v>
      </c>
      <c r="F340">
        <v>11.17</v>
      </c>
      <c r="G340">
        <v>1</v>
      </c>
      <c r="H340">
        <v>5</v>
      </c>
      <c r="I340">
        <v>8</v>
      </c>
      <c r="J340">
        <v>0</v>
      </c>
      <c r="K340">
        <v>0</v>
      </c>
      <c r="L340">
        <v>2</v>
      </c>
      <c r="M340" s="1">
        <f>C340/$B340-1</f>
        <v>-0.72499608702457352</v>
      </c>
      <c r="N340" s="1">
        <f>D340/$B340-1</f>
        <v>-0.60593728804716429</v>
      </c>
      <c r="O340" s="1">
        <f>E340/$B340-1</f>
        <v>-3.7825429122971821E-3</v>
      </c>
      <c r="P340">
        <f>_xlfn.RANK.EQ(M340,M$2:M$564)</f>
        <v>340</v>
      </c>
      <c r="Q340">
        <f>_xlfn.RANK.EQ(N340,N$2:N$564)</f>
        <v>332</v>
      </c>
      <c r="R340">
        <f>_xlfn.RANK.EQ(O340,O$2:O$564)</f>
        <v>316</v>
      </c>
      <c r="S340">
        <f>SUM(P340:R340)</f>
        <v>988</v>
      </c>
      <c r="T340">
        <f>_xlfn.RANK.EQ(S340,S$2:S$564, 1)</f>
        <v>338</v>
      </c>
    </row>
    <row r="341" spans="1:20" x14ac:dyDescent="0.35">
      <c r="A341" t="s">
        <v>87</v>
      </c>
      <c r="B341">
        <v>155.85</v>
      </c>
      <c r="C341">
        <v>26.91</v>
      </c>
      <c r="D341">
        <v>48.92</v>
      </c>
      <c r="E341">
        <v>280.27</v>
      </c>
      <c r="F341">
        <v>12.67</v>
      </c>
      <c r="G341">
        <v>2</v>
      </c>
      <c r="H341">
        <v>8</v>
      </c>
      <c r="I341">
        <v>14</v>
      </c>
      <c r="J341">
        <v>0</v>
      </c>
      <c r="K341">
        <v>0</v>
      </c>
      <c r="L341">
        <v>2</v>
      </c>
      <c r="M341" s="1">
        <f>C341/$B341-1</f>
        <v>-0.82733397497593841</v>
      </c>
      <c r="N341" s="1">
        <f>D341/$B341-1</f>
        <v>-0.68610843760025664</v>
      </c>
      <c r="O341" s="1">
        <f>E341/$B341-1</f>
        <v>0.79833172922682061</v>
      </c>
      <c r="P341">
        <f>_xlfn.RANK.EQ(M341,M$2:M$564)</f>
        <v>424</v>
      </c>
      <c r="Q341">
        <f>_xlfn.RANK.EQ(N341,N$2:N$564)</f>
        <v>375</v>
      </c>
      <c r="R341">
        <f>_xlfn.RANK.EQ(O341,O$2:O$564)</f>
        <v>192</v>
      </c>
      <c r="S341">
        <f>SUM(P341:R341)</f>
        <v>991</v>
      </c>
      <c r="T341">
        <f>_xlfn.RANK.EQ(S341,S$2:S$564, 1)</f>
        <v>340</v>
      </c>
    </row>
    <row r="342" spans="1:20" x14ac:dyDescent="0.35">
      <c r="A342" t="s">
        <v>276</v>
      </c>
      <c r="B342">
        <v>77.569999999999993</v>
      </c>
      <c r="C342">
        <v>24.9</v>
      </c>
      <c r="D342">
        <v>26.37</v>
      </c>
      <c r="E342">
        <v>73.02</v>
      </c>
      <c r="F342">
        <v>13.59</v>
      </c>
      <c r="G342">
        <v>-2</v>
      </c>
      <c r="H342">
        <v>1</v>
      </c>
      <c r="I342">
        <v>5</v>
      </c>
      <c r="J342">
        <v>0</v>
      </c>
      <c r="K342">
        <v>0</v>
      </c>
      <c r="L342">
        <v>2</v>
      </c>
      <c r="M342" s="1">
        <f>C342/$B342-1</f>
        <v>-0.6789996132525461</v>
      </c>
      <c r="N342" s="1">
        <f>D342/$B342-1</f>
        <v>-0.6600489880108289</v>
      </c>
      <c r="O342" s="1">
        <f>E342/$B342-1</f>
        <v>-5.86566971767436E-2</v>
      </c>
      <c r="P342">
        <f>_xlfn.RANK.EQ(M342,M$2:M$564)</f>
        <v>296</v>
      </c>
      <c r="Q342">
        <f>_xlfn.RANK.EQ(N342,N$2:N$564)</f>
        <v>359</v>
      </c>
      <c r="R342">
        <f>_xlfn.RANK.EQ(O342,O$2:O$564)</f>
        <v>337</v>
      </c>
      <c r="S342">
        <f>SUM(P342:R342)</f>
        <v>992</v>
      </c>
      <c r="T342">
        <f>_xlfn.RANK.EQ(S342,S$2:S$564, 1)</f>
        <v>341</v>
      </c>
    </row>
    <row r="343" spans="1:20" x14ac:dyDescent="0.35">
      <c r="A343" t="s">
        <v>536</v>
      </c>
      <c r="B343">
        <v>60.61</v>
      </c>
      <c r="C343">
        <v>21.11</v>
      </c>
      <c r="D343">
        <v>24.76</v>
      </c>
      <c r="E343">
        <v>46.27</v>
      </c>
      <c r="F343">
        <v>10.63</v>
      </c>
      <c r="G343">
        <v>0</v>
      </c>
      <c r="H343">
        <v>1</v>
      </c>
      <c r="I343">
        <v>5</v>
      </c>
      <c r="J343">
        <v>0</v>
      </c>
      <c r="K343">
        <v>1</v>
      </c>
      <c r="L343">
        <v>2</v>
      </c>
      <c r="M343" s="1">
        <f>C343/$B343-1</f>
        <v>-0.65170763900346484</v>
      </c>
      <c r="N343" s="1">
        <f>D343/$B343-1</f>
        <v>-0.59148655337403067</v>
      </c>
      <c r="O343" s="1">
        <f>E343/$B343-1</f>
        <v>-0.23659462134961218</v>
      </c>
      <c r="P343">
        <f>_xlfn.RANK.EQ(M343,M$2:M$564)</f>
        <v>277</v>
      </c>
      <c r="Q343">
        <f>_xlfn.RANK.EQ(N343,N$2:N$564)</f>
        <v>323</v>
      </c>
      <c r="R343">
        <f>_xlfn.RANK.EQ(O343,O$2:O$564)</f>
        <v>394</v>
      </c>
      <c r="S343">
        <f>SUM(P343:R343)</f>
        <v>994</v>
      </c>
      <c r="T343">
        <f>_xlfn.RANK.EQ(S343,S$2:S$564, 1)</f>
        <v>342</v>
      </c>
    </row>
    <row r="344" spans="1:20" x14ac:dyDescent="0.35">
      <c r="A344" t="s">
        <v>249</v>
      </c>
      <c r="B344">
        <v>186.84</v>
      </c>
      <c r="C344">
        <v>61.08</v>
      </c>
      <c r="D344">
        <v>72.319999999999993</v>
      </c>
      <c r="E344">
        <v>157.72999999999999</v>
      </c>
      <c r="F344">
        <v>12.49</v>
      </c>
      <c r="G344">
        <v>0</v>
      </c>
      <c r="H344">
        <v>2</v>
      </c>
      <c r="I344">
        <v>5</v>
      </c>
      <c r="J344">
        <v>0</v>
      </c>
      <c r="K344">
        <v>0</v>
      </c>
      <c r="L344">
        <v>2</v>
      </c>
      <c r="M344" s="1">
        <f>C344/$B344-1</f>
        <v>-0.67308927424534359</v>
      </c>
      <c r="N344" s="1">
        <f>D344/$B344-1</f>
        <v>-0.61293084992506963</v>
      </c>
      <c r="O344" s="1">
        <f>E344/$B344-1</f>
        <v>-0.15580175551273823</v>
      </c>
      <c r="P344">
        <f>_xlfn.RANK.EQ(M344,M$2:M$564)</f>
        <v>288</v>
      </c>
      <c r="Q344">
        <f>_xlfn.RANK.EQ(N344,N$2:N$564)</f>
        <v>337</v>
      </c>
      <c r="R344">
        <f>_xlfn.RANK.EQ(O344,O$2:O$564)</f>
        <v>369</v>
      </c>
      <c r="S344">
        <f>SUM(P344:R344)</f>
        <v>994</v>
      </c>
      <c r="T344">
        <f>_xlfn.RANK.EQ(S344,S$2:S$564, 1)</f>
        <v>342</v>
      </c>
    </row>
    <row r="345" spans="1:20" x14ac:dyDescent="0.35">
      <c r="A345" t="s">
        <v>253</v>
      </c>
      <c r="B345">
        <v>77.290000000000006</v>
      </c>
      <c r="C345">
        <v>25.98</v>
      </c>
      <c r="D345">
        <v>29.36</v>
      </c>
      <c r="E345">
        <v>62.64</v>
      </c>
      <c r="F345">
        <v>12.59</v>
      </c>
      <c r="G345">
        <v>0</v>
      </c>
      <c r="H345">
        <v>1</v>
      </c>
      <c r="I345">
        <v>5</v>
      </c>
      <c r="J345">
        <v>0</v>
      </c>
      <c r="K345">
        <v>0</v>
      </c>
      <c r="L345">
        <v>2</v>
      </c>
      <c r="M345" s="1">
        <f>C345/$B345-1</f>
        <v>-0.66386337171691034</v>
      </c>
      <c r="N345" s="1">
        <f>D345/$B345-1</f>
        <v>-0.62013197050071167</v>
      </c>
      <c r="O345" s="1">
        <f>E345/$B345-1</f>
        <v>-0.18954586621813951</v>
      </c>
      <c r="P345">
        <f>_xlfn.RANK.EQ(M345,M$2:M$564)</f>
        <v>281</v>
      </c>
      <c r="Q345">
        <f>_xlfn.RANK.EQ(N345,N$2:N$564)</f>
        <v>339</v>
      </c>
      <c r="R345">
        <f>_xlfn.RANK.EQ(O345,O$2:O$564)</f>
        <v>377</v>
      </c>
      <c r="S345">
        <f>SUM(P345:R345)</f>
        <v>997</v>
      </c>
      <c r="T345">
        <f>_xlfn.RANK.EQ(S345,S$2:S$564, 1)</f>
        <v>344</v>
      </c>
    </row>
    <row r="346" spans="1:20" x14ac:dyDescent="0.35">
      <c r="A346" t="s">
        <v>508</v>
      </c>
      <c r="B346">
        <v>318.89</v>
      </c>
      <c r="C346">
        <v>44.98</v>
      </c>
      <c r="D346">
        <v>98.85</v>
      </c>
      <c r="E346">
        <v>644.64</v>
      </c>
      <c r="F346">
        <v>11.51</v>
      </c>
      <c r="G346">
        <v>2</v>
      </c>
      <c r="H346">
        <v>10</v>
      </c>
      <c r="I346">
        <v>18</v>
      </c>
      <c r="J346">
        <v>0</v>
      </c>
      <c r="K346">
        <v>0</v>
      </c>
      <c r="L346">
        <v>2</v>
      </c>
      <c r="M346" s="1">
        <f>C346/$B346-1</f>
        <v>-0.85894822666123116</v>
      </c>
      <c r="N346" s="1">
        <f>D346/$B346-1</f>
        <v>-0.69001850167769452</v>
      </c>
      <c r="O346" s="1">
        <f>E346/$B346-1</f>
        <v>1.0215121201668289</v>
      </c>
      <c r="P346">
        <f>_xlfn.RANK.EQ(M346,M$2:M$564)</f>
        <v>450</v>
      </c>
      <c r="Q346">
        <f>_xlfn.RANK.EQ(N346,N$2:N$564)</f>
        <v>378</v>
      </c>
      <c r="R346">
        <f>_xlfn.RANK.EQ(O346,O$2:O$564)</f>
        <v>172</v>
      </c>
      <c r="S346">
        <f>SUM(P346:R346)</f>
        <v>1000</v>
      </c>
      <c r="T346">
        <f>_xlfn.RANK.EQ(S346,S$2:S$564, 1)</f>
        <v>345</v>
      </c>
    </row>
    <row r="347" spans="1:20" x14ac:dyDescent="0.35">
      <c r="A347" t="s">
        <v>301</v>
      </c>
      <c r="B347">
        <v>106.63</v>
      </c>
      <c r="C347">
        <v>16.53</v>
      </c>
      <c r="D347">
        <v>35.47</v>
      </c>
      <c r="E347">
        <v>174.77</v>
      </c>
      <c r="F347">
        <v>9.9499999999999993</v>
      </c>
      <c r="G347">
        <v>2</v>
      </c>
      <c r="H347">
        <v>10</v>
      </c>
      <c r="I347">
        <v>18</v>
      </c>
      <c r="J347">
        <v>0</v>
      </c>
      <c r="K347">
        <v>0</v>
      </c>
      <c r="L347">
        <v>2</v>
      </c>
      <c r="M347" s="1">
        <f>C347/$B347-1</f>
        <v>-0.84497796117415358</v>
      </c>
      <c r="N347" s="1">
        <f>D347/$B347-1</f>
        <v>-0.66735440307605742</v>
      </c>
      <c r="O347" s="1">
        <f>E347/$B347-1</f>
        <v>0.63903216730751211</v>
      </c>
      <c r="P347">
        <f>_xlfn.RANK.EQ(M347,M$2:M$564)</f>
        <v>436</v>
      </c>
      <c r="Q347">
        <f>_xlfn.RANK.EQ(N347,N$2:N$564)</f>
        <v>362</v>
      </c>
      <c r="R347">
        <f>_xlfn.RANK.EQ(O347,O$2:O$564)</f>
        <v>205</v>
      </c>
      <c r="S347">
        <f>SUM(P347:R347)</f>
        <v>1003</v>
      </c>
      <c r="T347">
        <f>_xlfn.RANK.EQ(S347,S$2:S$564, 1)</f>
        <v>346</v>
      </c>
    </row>
    <row r="348" spans="1:20" x14ac:dyDescent="0.35">
      <c r="A348" t="s">
        <v>32</v>
      </c>
      <c r="B348">
        <v>67.010000000000005</v>
      </c>
      <c r="C348">
        <v>23.78</v>
      </c>
      <c r="D348">
        <v>26.94</v>
      </c>
      <c r="E348">
        <v>48.62</v>
      </c>
      <c r="F348">
        <v>11.31</v>
      </c>
      <c r="G348">
        <v>0</v>
      </c>
      <c r="H348">
        <v>1</v>
      </c>
      <c r="I348">
        <v>5</v>
      </c>
      <c r="J348">
        <v>0</v>
      </c>
      <c r="K348">
        <v>0</v>
      </c>
      <c r="L348">
        <v>2</v>
      </c>
      <c r="M348" s="1">
        <f>C348/$B348-1</f>
        <v>-0.64512759289658261</v>
      </c>
      <c r="N348" s="1">
        <f>D348/$B348-1</f>
        <v>-0.59797045217131772</v>
      </c>
      <c r="O348" s="1">
        <f>E348/$B348-1</f>
        <v>-0.27443665124608274</v>
      </c>
      <c r="P348">
        <f>_xlfn.RANK.EQ(M348,M$2:M$564)</f>
        <v>272</v>
      </c>
      <c r="Q348">
        <f>_xlfn.RANK.EQ(N348,N$2:N$564)</f>
        <v>329</v>
      </c>
      <c r="R348">
        <f>_xlfn.RANK.EQ(O348,O$2:O$564)</f>
        <v>402</v>
      </c>
      <c r="S348">
        <f>SUM(P348:R348)</f>
        <v>1003</v>
      </c>
      <c r="T348">
        <f>_xlfn.RANK.EQ(S348,S$2:S$564, 1)</f>
        <v>346</v>
      </c>
    </row>
    <row r="349" spans="1:20" x14ac:dyDescent="0.35">
      <c r="A349" t="s">
        <v>527</v>
      </c>
      <c r="B349">
        <v>97.55</v>
      </c>
      <c r="C349">
        <v>30.38</v>
      </c>
      <c r="D349">
        <v>35.799999999999997</v>
      </c>
      <c r="E349">
        <v>83.94</v>
      </c>
      <c r="F349">
        <v>13.18</v>
      </c>
      <c r="G349">
        <v>0</v>
      </c>
      <c r="H349">
        <v>2</v>
      </c>
      <c r="I349">
        <v>5</v>
      </c>
      <c r="J349">
        <v>0</v>
      </c>
      <c r="K349">
        <v>0</v>
      </c>
      <c r="L349">
        <v>2</v>
      </c>
      <c r="M349" s="1">
        <f>C349/$B349-1</f>
        <v>-0.68856996412096361</v>
      </c>
      <c r="N349" s="1">
        <f>D349/$B349-1</f>
        <v>-0.63300871348026655</v>
      </c>
      <c r="O349" s="1">
        <f>E349/$B349-1</f>
        <v>-0.13951819579702718</v>
      </c>
      <c r="P349">
        <f>_xlfn.RANK.EQ(M349,M$2:M$564)</f>
        <v>307</v>
      </c>
      <c r="Q349">
        <f>_xlfn.RANK.EQ(N349,N$2:N$564)</f>
        <v>343</v>
      </c>
      <c r="R349">
        <f>_xlfn.RANK.EQ(O349,O$2:O$564)</f>
        <v>363</v>
      </c>
      <c r="S349">
        <f>SUM(P349:R349)</f>
        <v>1013</v>
      </c>
      <c r="T349">
        <f>_xlfn.RANK.EQ(S349,S$2:S$564, 1)</f>
        <v>348</v>
      </c>
    </row>
    <row r="350" spans="1:20" x14ac:dyDescent="0.35">
      <c r="A350" t="s">
        <v>241</v>
      </c>
      <c r="B350">
        <v>143.34</v>
      </c>
      <c r="C350">
        <v>66.91</v>
      </c>
      <c r="D350">
        <v>59.79</v>
      </c>
      <c r="E350">
        <v>27.12</v>
      </c>
      <c r="F350">
        <v>8.24</v>
      </c>
      <c r="G350">
        <v>2</v>
      </c>
      <c r="H350">
        <v>10</v>
      </c>
      <c r="I350">
        <v>18</v>
      </c>
      <c r="J350">
        <v>1</v>
      </c>
      <c r="K350">
        <v>5</v>
      </c>
      <c r="L350">
        <v>9</v>
      </c>
      <c r="M350" s="1">
        <f>C350/$B350-1</f>
        <v>-0.53320775777870799</v>
      </c>
      <c r="N350" s="1">
        <f>D350/$B350-1</f>
        <v>-0.58287986605274167</v>
      </c>
      <c r="O350" s="1">
        <f>E350/$B350-1</f>
        <v>-0.81079949769778148</v>
      </c>
      <c r="P350">
        <f>_xlfn.RANK.EQ(M350,M$2:M$564)</f>
        <v>189</v>
      </c>
      <c r="Q350">
        <f>_xlfn.RANK.EQ(N350,N$2:N$564)</f>
        <v>316</v>
      </c>
      <c r="R350">
        <f>_xlfn.RANK.EQ(O350,O$2:O$564)</f>
        <v>509</v>
      </c>
      <c r="S350">
        <f>SUM(P350:R350)</f>
        <v>1014</v>
      </c>
      <c r="T350">
        <f>_xlfn.RANK.EQ(S350,S$2:S$564, 1)</f>
        <v>349</v>
      </c>
    </row>
    <row r="351" spans="1:20" x14ac:dyDescent="0.35">
      <c r="A351" t="s">
        <v>486</v>
      </c>
      <c r="B351">
        <v>218.82</v>
      </c>
      <c r="C351">
        <v>80.290000000000006</v>
      </c>
      <c r="D351">
        <v>80.069999999999993</v>
      </c>
      <c r="E351">
        <v>146.12</v>
      </c>
      <c r="F351">
        <v>11.61</v>
      </c>
      <c r="G351">
        <v>-3</v>
      </c>
      <c r="H351">
        <v>1</v>
      </c>
      <c r="I351">
        <v>5</v>
      </c>
      <c r="J351">
        <v>0</v>
      </c>
      <c r="K351">
        <v>0</v>
      </c>
      <c r="L351">
        <v>2</v>
      </c>
      <c r="M351" s="1">
        <f>C351/$B351-1</f>
        <v>-0.63307741522712724</v>
      </c>
      <c r="N351" s="1">
        <f>D351/$B351-1</f>
        <v>-0.63408280778722237</v>
      </c>
      <c r="O351" s="1">
        <f>E351/$B351-1</f>
        <v>-0.33223654144959325</v>
      </c>
      <c r="P351">
        <f>_xlfn.RANK.EQ(M351,M$2:M$564)</f>
        <v>262</v>
      </c>
      <c r="Q351">
        <f>_xlfn.RANK.EQ(N351,N$2:N$564)</f>
        <v>344</v>
      </c>
      <c r="R351">
        <f>_xlfn.RANK.EQ(O351,O$2:O$564)</f>
        <v>412</v>
      </c>
      <c r="S351">
        <f>SUM(P351:R351)</f>
        <v>1018</v>
      </c>
      <c r="T351">
        <f>_xlfn.RANK.EQ(S351,S$2:S$564, 1)</f>
        <v>350</v>
      </c>
    </row>
    <row r="352" spans="1:20" x14ac:dyDescent="0.35">
      <c r="A352" t="s">
        <v>434</v>
      </c>
      <c r="B352">
        <v>79.430000000000007</v>
      </c>
      <c r="C352">
        <v>27.9</v>
      </c>
      <c r="D352">
        <v>28.74</v>
      </c>
      <c r="E352">
        <v>59.31</v>
      </c>
      <c r="F352">
        <v>11.95</v>
      </c>
      <c r="G352">
        <v>-2</v>
      </c>
      <c r="H352">
        <v>1</v>
      </c>
      <c r="I352">
        <v>5</v>
      </c>
      <c r="J352">
        <v>0</v>
      </c>
      <c r="K352">
        <v>0</v>
      </c>
      <c r="L352">
        <v>2</v>
      </c>
      <c r="M352" s="1">
        <f>C352/$B352-1</f>
        <v>-0.64874732468840501</v>
      </c>
      <c r="N352" s="1">
        <f>D352/$B352-1</f>
        <v>-0.63817197532418479</v>
      </c>
      <c r="O352" s="1">
        <f>E352/$B352-1</f>
        <v>-0.25330479667631878</v>
      </c>
      <c r="P352">
        <f>_xlfn.RANK.EQ(M352,M$2:M$564)</f>
        <v>275</v>
      </c>
      <c r="Q352">
        <f>_xlfn.RANK.EQ(N352,N$2:N$564)</f>
        <v>346</v>
      </c>
      <c r="R352">
        <f>_xlfn.RANK.EQ(O352,O$2:O$564)</f>
        <v>399</v>
      </c>
      <c r="S352">
        <f>SUM(P352:R352)</f>
        <v>1020</v>
      </c>
      <c r="T352">
        <f>_xlfn.RANK.EQ(S352,S$2:S$564, 1)</f>
        <v>351</v>
      </c>
    </row>
    <row r="353" spans="1:20" x14ac:dyDescent="0.35">
      <c r="A353" t="s">
        <v>190</v>
      </c>
      <c r="B353">
        <v>478</v>
      </c>
      <c r="C353">
        <v>117.27</v>
      </c>
      <c r="D353">
        <v>185.78</v>
      </c>
      <c r="E353">
        <v>470.91</v>
      </c>
      <c r="F353">
        <v>9.9600000000000009</v>
      </c>
      <c r="G353">
        <v>1</v>
      </c>
      <c r="H353">
        <v>6</v>
      </c>
      <c r="I353">
        <v>10</v>
      </c>
      <c r="J353">
        <v>0</v>
      </c>
      <c r="K353">
        <v>1</v>
      </c>
      <c r="L353">
        <v>2</v>
      </c>
      <c r="M353" s="1">
        <f>C353/$B353-1</f>
        <v>-0.75466527196652722</v>
      </c>
      <c r="N353" s="1">
        <f>D353/$B353-1</f>
        <v>-0.61133891213389124</v>
      </c>
      <c r="O353" s="1">
        <f>E353/$B353-1</f>
        <v>-1.4832635983263565E-2</v>
      </c>
      <c r="P353">
        <f>_xlfn.RANK.EQ(M353,M$2:M$564)</f>
        <v>361</v>
      </c>
      <c r="Q353">
        <f>_xlfn.RANK.EQ(N353,N$2:N$564)</f>
        <v>335</v>
      </c>
      <c r="R353">
        <f>_xlfn.RANK.EQ(O353,O$2:O$564)</f>
        <v>326</v>
      </c>
      <c r="S353">
        <f>SUM(P353:R353)</f>
        <v>1022</v>
      </c>
      <c r="T353">
        <f>_xlfn.RANK.EQ(S353,S$2:S$564, 1)</f>
        <v>352</v>
      </c>
    </row>
    <row r="354" spans="1:20" x14ac:dyDescent="0.35">
      <c r="A354" t="s">
        <v>86</v>
      </c>
      <c r="B354">
        <v>115.96</v>
      </c>
      <c r="C354">
        <v>36.520000000000003</v>
      </c>
      <c r="D354">
        <v>42.18</v>
      </c>
      <c r="E354">
        <v>95.48</v>
      </c>
      <c r="F354">
        <v>12.46</v>
      </c>
      <c r="G354">
        <v>0</v>
      </c>
      <c r="H354">
        <v>1</v>
      </c>
      <c r="I354">
        <v>5</v>
      </c>
      <c r="J354">
        <v>0</v>
      </c>
      <c r="K354">
        <v>0</v>
      </c>
      <c r="L354">
        <v>2</v>
      </c>
      <c r="M354" s="1">
        <f>C354/$B354-1</f>
        <v>-0.6850638151086581</v>
      </c>
      <c r="N354" s="1">
        <f>D354/$B354-1</f>
        <v>-0.63625388064849941</v>
      </c>
      <c r="O354" s="1">
        <f>E354/$B354-1</f>
        <v>-0.17661262504311825</v>
      </c>
      <c r="P354">
        <f>_xlfn.RANK.EQ(M354,M$2:M$564)</f>
        <v>304</v>
      </c>
      <c r="Q354">
        <f>_xlfn.RANK.EQ(N354,N$2:N$564)</f>
        <v>345</v>
      </c>
      <c r="R354">
        <f>_xlfn.RANK.EQ(O354,O$2:O$564)</f>
        <v>374</v>
      </c>
      <c r="S354">
        <f>SUM(P354:R354)</f>
        <v>1023</v>
      </c>
      <c r="T354">
        <f>_xlfn.RANK.EQ(S354,S$2:S$564, 1)</f>
        <v>353</v>
      </c>
    </row>
    <row r="355" spans="1:20" x14ac:dyDescent="0.35">
      <c r="A355" t="s">
        <v>523</v>
      </c>
      <c r="B355">
        <v>166.38</v>
      </c>
      <c r="C355">
        <v>51.87</v>
      </c>
      <c r="D355">
        <v>59.78</v>
      </c>
      <c r="E355">
        <v>140.63</v>
      </c>
      <c r="F355">
        <v>12.24</v>
      </c>
      <c r="G355">
        <v>0</v>
      </c>
      <c r="H355">
        <v>1</v>
      </c>
      <c r="I355">
        <v>5</v>
      </c>
      <c r="J355">
        <v>0</v>
      </c>
      <c r="K355">
        <v>0</v>
      </c>
      <c r="L355">
        <v>2</v>
      </c>
      <c r="M355" s="1">
        <f>C355/$B355-1</f>
        <v>-0.68824377930039671</v>
      </c>
      <c r="N355" s="1">
        <f>D355/$B355-1</f>
        <v>-0.64070200745281891</v>
      </c>
      <c r="O355" s="1">
        <f>E355/$B355-1</f>
        <v>-0.15476619786031975</v>
      </c>
      <c r="P355">
        <f>_xlfn.RANK.EQ(M355,M$2:M$564)</f>
        <v>306</v>
      </c>
      <c r="Q355">
        <f>_xlfn.RANK.EQ(N355,N$2:N$564)</f>
        <v>349</v>
      </c>
      <c r="R355">
        <f>_xlfn.RANK.EQ(O355,O$2:O$564)</f>
        <v>368</v>
      </c>
      <c r="S355">
        <f>SUM(P355:R355)</f>
        <v>1023</v>
      </c>
      <c r="T355">
        <f>_xlfn.RANK.EQ(S355,S$2:S$564, 1)</f>
        <v>353</v>
      </c>
    </row>
    <row r="356" spans="1:20" x14ac:dyDescent="0.35">
      <c r="A356" t="s">
        <v>291</v>
      </c>
      <c r="B356">
        <v>164.02</v>
      </c>
      <c r="C356">
        <v>31.31</v>
      </c>
      <c r="D356">
        <v>51.66</v>
      </c>
      <c r="E356">
        <v>219.04</v>
      </c>
      <c r="F356">
        <v>11.89</v>
      </c>
      <c r="G356">
        <v>1</v>
      </c>
      <c r="H356">
        <v>5</v>
      </c>
      <c r="I356">
        <v>10</v>
      </c>
      <c r="J356">
        <v>0</v>
      </c>
      <c r="K356">
        <v>0</v>
      </c>
      <c r="L356">
        <v>2</v>
      </c>
      <c r="M356" s="1">
        <f>C356/$B356-1</f>
        <v>-0.80910864528716009</v>
      </c>
      <c r="N356" s="1">
        <f>D356/$B356-1</f>
        <v>-0.6850384099500062</v>
      </c>
      <c r="O356" s="1">
        <f>E356/$B356-1</f>
        <v>0.33544689671991201</v>
      </c>
      <c r="P356">
        <f>_xlfn.RANK.EQ(M356,M$2:M$564)</f>
        <v>403</v>
      </c>
      <c r="Q356">
        <f>_xlfn.RANK.EQ(N356,N$2:N$564)</f>
        <v>374</v>
      </c>
      <c r="R356">
        <f>_xlfn.RANK.EQ(O356,O$2:O$564)</f>
        <v>249</v>
      </c>
      <c r="S356">
        <f>SUM(P356:R356)</f>
        <v>1026</v>
      </c>
      <c r="T356">
        <f>_xlfn.RANK.EQ(S356,S$2:S$564, 1)</f>
        <v>355</v>
      </c>
    </row>
    <row r="357" spans="1:20" x14ac:dyDescent="0.35">
      <c r="A357" t="s">
        <v>147</v>
      </c>
      <c r="B357">
        <v>115.03</v>
      </c>
      <c r="C357">
        <v>22.72</v>
      </c>
      <c r="D357">
        <v>37.29</v>
      </c>
      <c r="E357">
        <v>145.1</v>
      </c>
      <c r="F357">
        <v>9.81</v>
      </c>
      <c r="G357">
        <v>2</v>
      </c>
      <c r="H357">
        <v>10</v>
      </c>
      <c r="I357">
        <v>18</v>
      </c>
      <c r="J357">
        <v>0</v>
      </c>
      <c r="K357">
        <v>0</v>
      </c>
      <c r="L357">
        <v>2</v>
      </c>
      <c r="M357" s="1">
        <f>C357/$B357-1</f>
        <v>-0.80248630791967313</v>
      </c>
      <c r="N357" s="1">
        <f>D357/$B357-1</f>
        <v>-0.67582369816569599</v>
      </c>
      <c r="O357" s="1">
        <f>E357/$B357-1</f>
        <v>0.26141006693905933</v>
      </c>
      <c r="P357">
        <f>_xlfn.RANK.EQ(M357,M$2:M$564)</f>
        <v>398</v>
      </c>
      <c r="Q357">
        <f>_xlfn.RANK.EQ(N357,N$2:N$564)</f>
        <v>369</v>
      </c>
      <c r="R357">
        <f>_xlfn.RANK.EQ(O357,O$2:O$564)</f>
        <v>260</v>
      </c>
      <c r="S357">
        <f>SUM(P357:R357)</f>
        <v>1027</v>
      </c>
      <c r="T357">
        <f>_xlfn.RANK.EQ(S357,S$2:S$564, 1)</f>
        <v>356</v>
      </c>
    </row>
    <row r="358" spans="1:20" x14ac:dyDescent="0.35">
      <c r="A358" t="s">
        <v>201</v>
      </c>
      <c r="B358">
        <v>274.70999999999998</v>
      </c>
      <c r="C358">
        <v>83.05</v>
      </c>
      <c r="D358">
        <v>95.04</v>
      </c>
      <c r="E358">
        <v>239.97</v>
      </c>
      <c r="F358">
        <v>13.01</v>
      </c>
      <c r="G358">
        <v>0</v>
      </c>
      <c r="H358">
        <v>1</v>
      </c>
      <c r="I358">
        <v>5</v>
      </c>
      <c r="J358">
        <v>0</v>
      </c>
      <c r="K358">
        <v>0</v>
      </c>
      <c r="L358">
        <v>2</v>
      </c>
      <c r="M358" s="1">
        <f>C358/$B358-1</f>
        <v>-0.69768119107422377</v>
      </c>
      <c r="N358" s="1">
        <f>D358/$B358-1</f>
        <v>-0.65403516435513809</v>
      </c>
      <c r="O358" s="1">
        <f>E358/$B358-1</f>
        <v>-0.1264606312110953</v>
      </c>
      <c r="P358">
        <f>_xlfn.RANK.EQ(M358,M$2:M$564)</f>
        <v>314</v>
      </c>
      <c r="Q358">
        <f>_xlfn.RANK.EQ(N358,N$2:N$564)</f>
        <v>354</v>
      </c>
      <c r="R358">
        <f>_xlfn.RANK.EQ(O358,O$2:O$564)</f>
        <v>361</v>
      </c>
      <c r="S358">
        <f>SUM(P358:R358)</f>
        <v>1029</v>
      </c>
      <c r="T358">
        <f>_xlfn.RANK.EQ(S358,S$2:S$564, 1)</f>
        <v>357</v>
      </c>
    </row>
    <row r="359" spans="1:20" x14ac:dyDescent="0.35">
      <c r="A359" t="s">
        <v>469</v>
      </c>
      <c r="B359">
        <v>209.82</v>
      </c>
      <c r="C359">
        <v>69.97</v>
      </c>
      <c r="D359">
        <v>75.7</v>
      </c>
      <c r="E359">
        <v>142.31</v>
      </c>
      <c r="F359">
        <v>11.3</v>
      </c>
      <c r="G359">
        <v>-1</v>
      </c>
      <c r="H359">
        <v>1</v>
      </c>
      <c r="I359">
        <v>5</v>
      </c>
      <c r="J359">
        <v>0</v>
      </c>
      <c r="K359">
        <v>1</v>
      </c>
      <c r="L359">
        <v>2</v>
      </c>
      <c r="M359" s="1">
        <f>C359/$B359-1</f>
        <v>-0.6665236869697837</v>
      </c>
      <c r="N359" s="1">
        <f>D359/$B359-1</f>
        <v>-0.6392145648651224</v>
      </c>
      <c r="O359" s="1">
        <f>E359/$B359-1</f>
        <v>-0.32175197788580689</v>
      </c>
      <c r="P359">
        <f>_xlfn.RANK.EQ(M359,M$2:M$564)</f>
        <v>283</v>
      </c>
      <c r="Q359">
        <f>_xlfn.RANK.EQ(N359,N$2:N$564)</f>
        <v>347</v>
      </c>
      <c r="R359">
        <f>_xlfn.RANK.EQ(O359,O$2:O$564)</f>
        <v>411</v>
      </c>
      <c r="S359">
        <f>SUM(P359:R359)</f>
        <v>1041</v>
      </c>
      <c r="T359">
        <f>_xlfn.RANK.EQ(S359,S$2:S$564, 1)</f>
        <v>358</v>
      </c>
    </row>
    <row r="360" spans="1:20" x14ac:dyDescent="0.35">
      <c r="A360" t="s">
        <v>240</v>
      </c>
      <c r="B360">
        <v>121.95</v>
      </c>
      <c r="C360">
        <v>35.26</v>
      </c>
      <c r="D360">
        <v>43.19</v>
      </c>
      <c r="E360">
        <v>104.19</v>
      </c>
      <c r="F360">
        <v>12.85</v>
      </c>
      <c r="G360">
        <v>0</v>
      </c>
      <c r="H360">
        <v>2</v>
      </c>
      <c r="I360">
        <v>5</v>
      </c>
      <c r="J360">
        <v>0</v>
      </c>
      <c r="K360">
        <v>0</v>
      </c>
      <c r="L360">
        <v>2</v>
      </c>
      <c r="M360" s="1">
        <f>C360/$B360-1</f>
        <v>-0.71086510865108654</v>
      </c>
      <c r="N360" s="1">
        <f>D360/$B360-1</f>
        <v>-0.64583845838458387</v>
      </c>
      <c r="O360" s="1">
        <f>E360/$B360-1</f>
        <v>-0.14563345633456337</v>
      </c>
      <c r="P360">
        <f>_xlfn.RANK.EQ(M360,M$2:M$564)</f>
        <v>326</v>
      </c>
      <c r="Q360">
        <f>_xlfn.RANK.EQ(N360,N$2:N$564)</f>
        <v>351</v>
      </c>
      <c r="R360">
        <f>_xlfn.RANK.EQ(O360,O$2:O$564)</f>
        <v>366</v>
      </c>
      <c r="S360">
        <f>SUM(P360:R360)</f>
        <v>1043</v>
      </c>
      <c r="T360">
        <f>_xlfn.RANK.EQ(S360,S$2:S$564, 1)</f>
        <v>359</v>
      </c>
    </row>
    <row r="361" spans="1:20" x14ac:dyDescent="0.35">
      <c r="A361" t="s">
        <v>252</v>
      </c>
      <c r="B361">
        <v>164.84</v>
      </c>
      <c r="C361">
        <v>51.01</v>
      </c>
      <c r="D361">
        <v>54.99</v>
      </c>
      <c r="E361">
        <v>135.53</v>
      </c>
      <c r="F361">
        <v>12.56</v>
      </c>
      <c r="G361">
        <v>-2</v>
      </c>
      <c r="H361">
        <v>1</v>
      </c>
      <c r="I361">
        <v>5</v>
      </c>
      <c r="J361">
        <v>0</v>
      </c>
      <c r="K361">
        <v>0</v>
      </c>
      <c r="L361">
        <v>2</v>
      </c>
      <c r="M361" s="1">
        <f>C361/$B361-1</f>
        <v>-0.69054841057995642</v>
      </c>
      <c r="N361" s="1">
        <f>D361/$B361-1</f>
        <v>-0.66640378548895907</v>
      </c>
      <c r="O361" s="1">
        <f>E361/$B361-1</f>
        <v>-0.17780878427566127</v>
      </c>
      <c r="P361">
        <f>_xlfn.RANK.EQ(M361,M$2:M$564)</f>
        <v>309</v>
      </c>
      <c r="Q361">
        <f>_xlfn.RANK.EQ(N361,N$2:N$564)</f>
        <v>360</v>
      </c>
      <c r="R361">
        <f>_xlfn.RANK.EQ(O361,O$2:O$564)</f>
        <v>375</v>
      </c>
      <c r="S361">
        <f>SUM(P361:R361)</f>
        <v>1044</v>
      </c>
      <c r="T361">
        <f>_xlfn.RANK.EQ(S361,S$2:S$564, 1)</f>
        <v>360</v>
      </c>
    </row>
    <row r="362" spans="1:20" x14ac:dyDescent="0.35">
      <c r="A362" t="s">
        <v>209</v>
      </c>
      <c r="B362">
        <v>307.91000000000003</v>
      </c>
      <c r="C362">
        <v>32.72</v>
      </c>
      <c r="D362">
        <v>75.75</v>
      </c>
      <c r="E362">
        <v>658.35</v>
      </c>
      <c r="F362">
        <v>6.03</v>
      </c>
      <c r="G362">
        <v>2</v>
      </c>
      <c r="H362">
        <v>10</v>
      </c>
      <c r="I362">
        <v>18</v>
      </c>
      <c r="J362">
        <v>1</v>
      </c>
      <c r="K362">
        <v>5</v>
      </c>
      <c r="L362">
        <v>9</v>
      </c>
      <c r="M362" s="1">
        <f>C362/$B362-1</f>
        <v>-0.89373518235848137</v>
      </c>
      <c r="N362" s="1">
        <f>D362/$B362-1</f>
        <v>-0.75398655451268226</v>
      </c>
      <c r="O362" s="1">
        <f>E362/$B362-1</f>
        <v>1.1381247767204701</v>
      </c>
      <c r="P362">
        <f>_xlfn.RANK.EQ(M362,M$2:M$564)</f>
        <v>465</v>
      </c>
      <c r="Q362">
        <f>_xlfn.RANK.EQ(N362,N$2:N$564)</f>
        <v>425</v>
      </c>
      <c r="R362">
        <f>_xlfn.RANK.EQ(O362,O$2:O$564)</f>
        <v>159</v>
      </c>
      <c r="S362">
        <f>SUM(P362:R362)</f>
        <v>1049</v>
      </c>
      <c r="T362">
        <f>_xlfn.RANK.EQ(S362,S$2:S$564, 1)</f>
        <v>361</v>
      </c>
    </row>
    <row r="363" spans="1:20" x14ac:dyDescent="0.35">
      <c r="A363" t="s">
        <v>348</v>
      </c>
      <c r="B363">
        <v>122.27</v>
      </c>
      <c r="C363">
        <v>37.03</v>
      </c>
      <c r="D363">
        <v>42.35</v>
      </c>
      <c r="E363">
        <v>96.2</v>
      </c>
      <c r="F363">
        <v>13.61</v>
      </c>
      <c r="G363">
        <v>0</v>
      </c>
      <c r="H363">
        <v>2</v>
      </c>
      <c r="I363">
        <v>5</v>
      </c>
      <c r="J363">
        <v>0</v>
      </c>
      <c r="K363">
        <v>0</v>
      </c>
      <c r="L363">
        <v>2</v>
      </c>
      <c r="M363" s="1">
        <f>C363/$B363-1</f>
        <v>-0.69714566124151467</v>
      </c>
      <c r="N363" s="1">
        <f>D363/$B363-1</f>
        <v>-0.65363539707205365</v>
      </c>
      <c r="O363" s="1">
        <f>E363/$B363-1</f>
        <v>-0.21321665167252801</v>
      </c>
      <c r="P363">
        <f>_xlfn.RANK.EQ(M363,M$2:M$564)</f>
        <v>313</v>
      </c>
      <c r="Q363">
        <f>_xlfn.RANK.EQ(N363,N$2:N$564)</f>
        <v>353</v>
      </c>
      <c r="R363">
        <f>_xlfn.RANK.EQ(O363,O$2:O$564)</f>
        <v>385</v>
      </c>
      <c r="S363">
        <f>SUM(P363:R363)</f>
        <v>1051</v>
      </c>
      <c r="T363">
        <f>_xlfn.RANK.EQ(S363,S$2:S$564, 1)</f>
        <v>362</v>
      </c>
    </row>
    <row r="364" spans="1:20" x14ac:dyDescent="0.35">
      <c r="A364" t="s">
        <v>115</v>
      </c>
      <c r="B364">
        <v>61.57</v>
      </c>
      <c r="C364">
        <v>15.36</v>
      </c>
      <c r="D364">
        <v>17.170000000000002</v>
      </c>
      <c r="E364">
        <v>65.36</v>
      </c>
      <c r="F364">
        <v>13.7</v>
      </c>
      <c r="G364">
        <v>-3</v>
      </c>
      <c r="H364">
        <v>1</v>
      </c>
      <c r="I364">
        <v>5</v>
      </c>
      <c r="J364">
        <v>0</v>
      </c>
      <c r="K364">
        <v>0</v>
      </c>
      <c r="L364">
        <v>2</v>
      </c>
      <c r="M364" s="1">
        <f>C364/$B364-1</f>
        <v>-0.75052785447458181</v>
      </c>
      <c r="N364" s="1">
        <f>D364/$B364-1</f>
        <v>-0.72113042065941202</v>
      </c>
      <c r="O364" s="1">
        <f>E364/$B364-1</f>
        <v>6.1555952574305683E-2</v>
      </c>
      <c r="P364">
        <f>_xlfn.RANK.EQ(M364,M$2:M$564)</f>
        <v>357</v>
      </c>
      <c r="Q364">
        <f>_xlfn.RANK.EQ(N364,N$2:N$564)</f>
        <v>393</v>
      </c>
      <c r="R364">
        <f>_xlfn.RANK.EQ(O364,O$2:O$564)</f>
        <v>303</v>
      </c>
      <c r="S364">
        <f>SUM(P364:R364)</f>
        <v>1053</v>
      </c>
      <c r="T364">
        <f>_xlfn.RANK.EQ(S364,S$2:S$564, 1)</f>
        <v>363</v>
      </c>
    </row>
    <row r="365" spans="1:20" x14ac:dyDescent="0.35">
      <c r="A365" t="s">
        <v>294</v>
      </c>
      <c r="B365">
        <v>196.05</v>
      </c>
      <c r="C365">
        <v>25.08</v>
      </c>
      <c r="D365">
        <v>56.43</v>
      </c>
      <c r="E365">
        <v>305.25</v>
      </c>
      <c r="F365">
        <v>8.5399999999999991</v>
      </c>
      <c r="G365">
        <v>2</v>
      </c>
      <c r="H365">
        <v>10</v>
      </c>
      <c r="I365">
        <v>18</v>
      </c>
      <c r="J365">
        <v>1</v>
      </c>
      <c r="K365">
        <v>3</v>
      </c>
      <c r="L365">
        <v>5</v>
      </c>
      <c r="M365" s="1">
        <f>C365/$B365-1</f>
        <v>-0.87207345065034425</v>
      </c>
      <c r="N365" s="1">
        <f>D365/$B365-1</f>
        <v>-0.71216526396327473</v>
      </c>
      <c r="O365" s="1">
        <f>E365/$B365-1</f>
        <v>0.55700076511094099</v>
      </c>
      <c r="P365">
        <f>_xlfn.RANK.EQ(M365,M$2:M$564)</f>
        <v>456</v>
      </c>
      <c r="Q365">
        <f>_xlfn.RANK.EQ(N365,N$2:N$564)</f>
        <v>391</v>
      </c>
      <c r="R365">
        <f>_xlfn.RANK.EQ(O365,O$2:O$564)</f>
        <v>211</v>
      </c>
      <c r="S365">
        <f>SUM(P365:R365)</f>
        <v>1058</v>
      </c>
      <c r="T365">
        <f>_xlfn.RANK.EQ(S365,S$2:S$564, 1)</f>
        <v>364</v>
      </c>
    </row>
    <row r="366" spans="1:20" x14ac:dyDescent="0.35">
      <c r="A366" t="s">
        <v>292</v>
      </c>
      <c r="B366">
        <v>68.95</v>
      </c>
      <c r="C366">
        <v>20.93</v>
      </c>
      <c r="D366">
        <v>23.47</v>
      </c>
      <c r="E366">
        <v>52.54</v>
      </c>
      <c r="F366">
        <v>12.72</v>
      </c>
      <c r="G366">
        <v>0</v>
      </c>
      <c r="H366">
        <v>1</v>
      </c>
      <c r="I366">
        <v>5</v>
      </c>
      <c r="J366">
        <v>0</v>
      </c>
      <c r="K366">
        <v>0</v>
      </c>
      <c r="L366">
        <v>2</v>
      </c>
      <c r="M366" s="1">
        <f>C366/$B366-1</f>
        <v>-0.69644670050761426</v>
      </c>
      <c r="N366" s="1">
        <f>D366/$B366-1</f>
        <v>-0.65960841189267594</v>
      </c>
      <c r="O366" s="1">
        <f>E366/$B366-1</f>
        <v>-0.23799854967367662</v>
      </c>
      <c r="P366">
        <f>_xlfn.RANK.EQ(M366,M$2:M$564)</f>
        <v>312</v>
      </c>
      <c r="Q366">
        <f>_xlfn.RANK.EQ(N366,N$2:N$564)</f>
        <v>357</v>
      </c>
      <c r="R366">
        <f>_xlfn.RANK.EQ(O366,O$2:O$564)</f>
        <v>395</v>
      </c>
      <c r="S366">
        <f>SUM(P366:R366)</f>
        <v>1064</v>
      </c>
      <c r="T366">
        <f>_xlfn.RANK.EQ(S366,S$2:S$564, 1)</f>
        <v>365</v>
      </c>
    </row>
    <row r="367" spans="1:20" x14ac:dyDescent="0.35">
      <c r="A367" t="s">
        <v>453</v>
      </c>
      <c r="B367">
        <v>302.76</v>
      </c>
      <c r="C367">
        <v>7.31</v>
      </c>
      <c r="D367">
        <v>6.18</v>
      </c>
      <c r="E367">
        <v>1493.48</v>
      </c>
      <c r="F367">
        <v>14.37</v>
      </c>
      <c r="G367">
        <v>2</v>
      </c>
      <c r="H367">
        <v>10</v>
      </c>
      <c r="I367">
        <v>18</v>
      </c>
      <c r="J367">
        <v>0</v>
      </c>
      <c r="K367">
        <v>0</v>
      </c>
      <c r="L367">
        <v>2</v>
      </c>
      <c r="M367" s="1">
        <f>C367/$B367-1</f>
        <v>-0.97585546307306115</v>
      </c>
      <c r="N367" s="1">
        <f>D367/$B367-1</f>
        <v>-0.97958779231074122</v>
      </c>
      <c r="O367" s="1">
        <f>E367/$B367-1</f>
        <v>3.9328841326463211</v>
      </c>
      <c r="P367">
        <f>_xlfn.RANK.EQ(M367,M$2:M$564)</f>
        <v>508</v>
      </c>
      <c r="Q367">
        <f>_xlfn.RANK.EQ(N367,N$2:N$564)</f>
        <v>513</v>
      </c>
      <c r="R367">
        <f>_xlfn.RANK.EQ(O367,O$2:O$564)</f>
        <v>44</v>
      </c>
      <c r="S367">
        <f>SUM(P367:R367)</f>
        <v>1065</v>
      </c>
      <c r="T367">
        <f>_xlfn.RANK.EQ(S367,S$2:S$564, 1)</f>
        <v>366</v>
      </c>
    </row>
    <row r="368" spans="1:20" x14ac:dyDescent="0.35">
      <c r="A368" t="s">
        <v>505</v>
      </c>
      <c r="B368">
        <v>176.07</v>
      </c>
      <c r="C368">
        <v>37.39</v>
      </c>
      <c r="D368">
        <v>56.76</v>
      </c>
      <c r="E368">
        <v>183.64</v>
      </c>
      <c r="F368">
        <v>12.21</v>
      </c>
      <c r="G368">
        <v>1</v>
      </c>
      <c r="H368">
        <v>5</v>
      </c>
      <c r="I368">
        <v>9</v>
      </c>
      <c r="J368">
        <v>0</v>
      </c>
      <c r="K368">
        <v>0</v>
      </c>
      <c r="L368">
        <v>2</v>
      </c>
      <c r="M368" s="1">
        <f>C368/$B368-1</f>
        <v>-0.78764127903674674</v>
      </c>
      <c r="N368" s="1">
        <f>D368/$B368-1</f>
        <v>-0.67762821605043455</v>
      </c>
      <c r="O368" s="1">
        <f>E368/$B368-1</f>
        <v>4.2994263645141029E-2</v>
      </c>
      <c r="P368">
        <f>_xlfn.RANK.EQ(M368,M$2:M$564)</f>
        <v>389</v>
      </c>
      <c r="Q368">
        <f>_xlfn.RANK.EQ(N368,N$2:N$564)</f>
        <v>370</v>
      </c>
      <c r="R368">
        <f>_xlfn.RANK.EQ(O368,O$2:O$564)</f>
        <v>308</v>
      </c>
      <c r="S368">
        <f>SUM(P368:R368)</f>
        <v>1067</v>
      </c>
      <c r="T368">
        <f>_xlfn.RANK.EQ(S368,S$2:S$564, 1)</f>
        <v>367</v>
      </c>
    </row>
    <row r="369" spans="1:20" x14ac:dyDescent="0.35">
      <c r="A369" t="s">
        <v>482</v>
      </c>
      <c r="B369">
        <v>109.46</v>
      </c>
      <c r="C369">
        <v>31.41</v>
      </c>
      <c r="D369">
        <v>37.22</v>
      </c>
      <c r="E369">
        <v>86.81</v>
      </c>
      <c r="F369">
        <v>12.91</v>
      </c>
      <c r="G369">
        <v>0</v>
      </c>
      <c r="H369">
        <v>2</v>
      </c>
      <c r="I369">
        <v>5</v>
      </c>
      <c r="J369">
        <v>0</v>
      </c>
      <c r="K369">
        <v>0</v>
      </c>
      <c r="L369">
        <v>2</v>
      </c>
      <c r="M369" s="1">
        <f>C369/$B369-1</f>
        <v>-0.71304586150191851</v>
      </c>
      <c r="N369" s="1">
        <f>D369/$B369-1</f>
        <v>-0.65996711127352459</v>
      </c>
      <c r="O369" s="1">
        <f>E369/$B369-1</f>
        <v>-0.20692490407454767</v>
      </c>
      <c r="P369">
        <f>_xlfn.RANK.EQ(M369,M$2:M$564)</f>
        <v>329</v>
      </c>
      <c r="Q369">
        <f>_xlfn.RANK.EQ(N369,N$2:N$564)</f>
        <v>358</v>
      </c>
      <c r="R369">
        <f>_xlfn.RANK.EQ(O369,O$2:O$564)</f>
        <v>382</v>
      </c>
      <c r="S369">
        <f>SUM(P369:R369)</f>
        <v>1069</v>
      </c>
      <c r="T369">
        <f>_xlfn.RANK.EQ(S369,S$2:S$564, 1)</f>
        <v>368</v>
      </c>
    </row>
    <row r="370" spans="1:20" x14ac:dyDescent="0.35">
      <c r="A370" t="s">
        <v>330</v>
      </c>
      <c r="B370">
        <v>66.040000000000006</v>
      </c>
      <c r="C370">
        <v>22.17</v>
      </c>
      <c r="D370">
        <v>23.69</v>
      </c>
      <c r="E370">
        <v>37.25</v>
      </c>
      <c r="F370">
        <v>11.73</v>
      </c>
      <c r="G370">
        <v>0</v>
      </c>
      <c r="H370">
        <v>1</v>
      </c>
      <c r="I370">
        <v>5</v>
      </c>
      <c r="J370">
        <v>0</v>
      </c>
      <c r="K370">
        <v>1</v>
      </c>
      <c r="L370">
        <v>2</v>
      </c>
      <c r="M370" s="1">
        <f>C370/$B370-1</f>
        <v>-0.66429436705027256</v>
      </c>
      <c r="N370" s="1">
        <f>D370/$B370-1</f>
        <v>-0.64127801332525736</v>
      </c>
      <c r="O370" s="1">
        <f>E370/$B370-1</f>
        <v>-0.43594791035735925</v>
      </c>
      <c r="P370">
        <f>_xlfn.RANK.EQ(M370,M$2:M$564)</f>
        <v>282</v>
      </c>
      <c r="Q370">
        <f>_xlfn.RANK.EQ(N370,N$2:N$564)</f>
        <v>350</v>
      </c>
      <c r="R370">
        <f>_xlfn.RANK.EQ(O370,O$2:O$564)</f>
        <v>446</v>
      </c>
      <c r="S370">
        <f>SUM(P370:R370)</f>
        <v>1078</v>
      </c>
      <c r="T370">
        <f>_xlfn.RANK.EQ(S370,S$2:S$564, 1)</f>
        <v>369</v>
      </c>
    </row>
    <row r="371" spans="1:20" x14ac:dyDescent="0.35">
      <c r="A371" t="s">
        <v>208</v>
      </c>
      <c r="B371">
        <v>55.5</v>
      </c>
      <c r="C371">
        <v>4.1399999999999997</v>
      </c>
      <c r="D371">
        <v>13.73</v>
      </c>
      <c r="E371">
        <v>108.79</v>
      </c>
      <c r="F371">
        <v>7.15</v>
      </c>
      <c r="G371">
        <v>2</v>
      </c>
      <c r="H371">
        <v>10</v>
      </c>
      <c r="I371">
        <v>18</v>
      </c>
      <c r="J371">
        <v>1</v>
      </c>
      <c r="K371">
        <v>3</v>
      </c>
      <c r="L371">
        <v>6</v>
      </c>
      <c r="M371" s="1">
        <f>C371/$B371-1</f>
        <v>-0.92540540540540539</v>
      </c>
      <c r="N371" s="1">
        <f>D371/$B371-1</f>
        <v>-0.75261261261261259</v>
      </c>
      <c r="O371" s="1">
        <f>E371/$B371-1</f>
        <v>0.96018018018018036</v>
      </c>
      <c r="P371">
        <f>_xlfn.RANK.EQ(M371,M$2:M$564)</f>
        <v>482</v>
      </c>
      <c r="Q371">
        <f>_xlfn.RANK.EQ(N371,N$2:N$564)</f>
        <v>424</v>
      </c>
      <c r="R371">
        <f>_xlfn.RANK.EQ(O371,O$2:O$564)</f>
        <v>174</v>
      </c>
      <c r="S371">
        <f>SUM(P371:R371)</f>
        <v>1080</v>
      </c>
      <c r="T371">
        <f>_xlfn.RANK.EQ(S371,S$2:S$564, 1)</f>
        <v>370</v>
      </c>
    </row>
    <row r="372" spans="1:20" x14ac:dyDescent="0.35">
      <c r="A372" t="s">
        <v>66</v>
      </c>
      <c r="B372">
        <v>1188.44</v>
      </c>
      <c r="C372">
        <v>220.16</v>
      </c>
      <c r="D372">
        <v>382.06</v>
      </c>
      <c r="E372">
        <v>1269.26</v>
      </c>
      <c r="F372">
        <v>10.3</v>
      </c>
      <c r="G372">
        <v>2</v>
      </c>
      <c r="H372">
        <v>7</v>
      </c>
      <c r="I372">
        <v>13</v>
      </c>
      <c r="J372">
        <v>0</v>
      </c>
      <c r="K372">
        <v>1</v>
      </c>
      <c r="L372">
        <v>2</v>
      </c>
      <c r="M372" s="1">
        <f>C372/$B372-1</f>
        <v>-0.81474874625559557</v>
      </c>
      <c r="N372" s="1">
        <f>D372/$B372-1</f>
        <v>-0.67851974016357586</v>
      </c>
      <c r="O372" s="1">
        <f>E372/$B372-1</f>
        <v>6.8005115950321438E-2</v>
      </c>
      <c r="P372">
        <f>_xlfn.RANK.EQ(M372,M$2:M$564)</f>
        <v>410</v>
      </c>
      <c r="Q372">
        <f>_xlfn.RANK.EQ(N372,N$2:N$564)</f>
        <v>372</v>
      </c>
      <c r="R372">
        <f>_xlfn.RANK.EQ(O372,O$2:O$564)</f>
        <v>301</v>
      </c>
      <c r="S372">
        <f>SUM(P372:R372)</f>
        <v>1083</v>
      </c>
      <c r="T372">
        <f>_xlfn.RANK.EQ(S372,S$2:S$564, 1)</f>
        <v>371</v>
      </c>
    </row>
    <row r="373" spans="1:20" x14ac:dyDescent="0.35">
      <c r="A373" t="s">
        <v>325</v>
      </c>
      <c r="B373">
        <v>97.81</v>
      </c>
      <c r="C373">
        <v>16.61</v>
      </c>
      <c r="D373">
        <v>26.53</v>
      </c>
      <c r="E373">
        <v>121.96</v>
      </c>
      <c r="F373">
        <v>11.61</v>
      </c>
      <c r="G373">
        <v>2</v>
      </c>
      <c r="H373">
        <v>9</v>
      </c>
      <c r="I373">
        <v>17</v>
      </c>
      <c r="J373">
        <v>0</v>
      </c>
      <c r="K373">
        <v>1</v>
      </c>
      <c r="L373">
        <v>2</v>
      </c>
      <c r="M373" s="1">
        <f>C373/$B373-1</f>
        <v>-0.83018096309170841</v>
      </c>
      <c r="N373" s="1">
        <f>D373/$B373-1</f>
        <v>-0.72875984050710563</v>
      </c>
      <c r="O373" s="1">
        <f>E373/$B373-1</f>
        <v>0.24690726919537864</v>
      </c>
      <c r="P373">
        <f>_xlfn.RANK.EQ(M373,M$2:M$564)</f>
        <v>427</v>
      </c>
      <c r="Q373">
        <f>_xlfn.RANK.EQ(N373,N$2:N$564)</f>
        <v>399</v>
      </c>
      <c r="R373">
        <f>_xlfn.RANK.EQ(O373,O$2:O$564)</f>
        <v>265</v>
      </c>
      <c r="S373">
        <f>SUM(P373:R373)</f>
        <v>1091</v>
      </c>
      <c r="T373">
        <f>_xlfn.RANK.EQ(S373,S$2:S$564, 1)</f>
        <v>372</v>
      </c>
    </row>
    <row r="374" spans="1:20" x14ac:dyDescent="0.35">
      <c r="A374" t="s">
        <v>519</v>
      </c>
      <c r="B374">
        <v>262.2</v>
      </c>
      <c r="C374">
        <v>70.31</v>
      </c>
      <c r="D374">
        <v>99.28</v>
      </c>
      <c r="E374">
        <v>182.15</v>
      </c>
      <c r="F374">
        <v>9.6999999999999993</v>
      </c>
      <c r="G374">
        <v>1</v>
      </c>
      <c r="H374">
        <v>3</v>
      </c>
      <c r="I374">
        <v>6</v>
      </c>
      <c r="J374">
        <v>0</v>
      </c>
      <c r="K374">
        <v>1</v>
      </c>
      <c r="L374">
        <v>2</v>
      </c>
      <c r="M374" s="1">
        <f>C374/$B374-1</f>
        <v>-0.7318459191456903</v>
      </c>
      <c r="N374" s="1">
        <f>D374/$B374-1</f>
        <v>-0.62135774218154083</v>
      </c>
      <c r="O374" s="1">
        <f>E374/$B374-1</f>
        <v>-0.30530129672006101</v>
      </c>
      <c r="P374">
        <f>_xlfn.RANK.EQ(M374,M$2:M$564)</f>
        <v>342</v>
      </c>
      <c r="Q374">
        <f>_xlfn.RANK.EQ(N374,N$2:N$564)</f>
        <v>340</v>
      </c>
      <c r="R374">
        <f>_xlfn.RANK.EQ(O374,O$2:O$564)</f>
        <v>410</v>
      </c>
      <c r="S374">
        <f>SUM(P374:R374)</f>
        <v>1092</v>
      </c>
      <c r="T374">
        <f>_xlfn.RANK.EQ(S374,S$2:S$564, 1)</f>
        <v>373</v>
      </c>
    </row>
    <row r="375" spans="1:20" x14ac:dyDescent="0.35">
      <c r="A375" t="s">
        <v>352</v>
      </c>
      <c r="B375">
        <v>11.95</v>
      </c>
      <c r="C375">
        <v>3.68</v>
      </c>
      <c r="D375">
        <v>3.77</v>
      </c>
      <c r="E375">
        <v>7.97</v>
      </c>
      <c r="F375">
        <v>15.08</v>
      </c>
      <c r="G375">
        <v>-3</v>
      </c>
      <c r="H375">
        <v>1</v>
      </c>
      <c r="I375">
        <v>5</v>
      </c>
      <c r="J375">
        <v>0</v>
      </c>
      <c r="K375">
        <v>0</v>
      </c>
      <c r="L375">
        <v>2</v>
      </c>
      <c r="M375" s="1">
        <f>C375/$B375-1</f>
        <v>-0.69205020920502092</v>
      </c>
      <c r="N375" s="1">
        <f>D375/$B375-1</f>
        <v>-0.68451882845188283</v>
      </c>
      <c r="O375" s="1">
        <f>E375/$B375-1</f>
        <v>-0.33305439330543929</v>
      </c>
      <c r="P375">
        <f>_xlfn.RANK.EQ(M375,M$2:M$564)</f>
        <v>310</v>
      </c>
      <c r="Q375">
        <f>_xlfn.RANK.EQ(N375,N$2:N$564)</f>
        <v>373</v>
      </c>
      <c r="R375">
        <f>_xlfn.RANK.EQ(O375,O$2:O$564)</f>
        <v>413</v>
      </c>
      <c r="S375">
        <f>SUM(P375:R375)</f>
        <v>1096</v>
      </c>
      <c r="T375">
        <f>_xlfn.RANK.EQ(S375,S$2:S$564, 1)</f>
        <v>374</v>
      </c>
    </row>
    <row r="376" spans="1:20" x14ac:dyDescent="0.35">
      <c r="A376" t="s">
        <v>81</v>
      </c>
      <c r="B376">
        <v>253.44</v>
      </c>
      <c r="C376">
        <v>76.59</v>
      </c>
      <c r="D376">
        <v>84.54</v>
      </c>
      <c r="E376">
        <v>161.01</v>
      </c>
      <c r="F376">
        <v>11.93</v>
      </c>
      <c r="G376">
        <v>0</v>
      </c>
      <c r="H376">
        <v>1</v>
      </c>
      <c r="I376">
        <v>5</v>
      </c>
      <c r="J376">
        <v>0</v>
      </c>
      <c r="K376">
        <v>0</v>
      </c>
      <c r="L376">
        <v>2</v>
      </c>
      <c r="M376" s="1">
        <f>C376/$B376-1</f>
        <v>-0.69779829545454541</v>
      </c>
      <c r="N376" s="1">
        <f>D376/$B376-1</f>
        <v>-0.6664299242424242</v>
      </c>
      <c r="O376" s="1">
        <f>E376/$B376-1</f>
        <v>-0.36470170454545459</v>
      </c>
      <c r="P376">
        <f>_xlfn.RANK.EQ(M376,M$2:M$564)</f>
        <v>315</v>
      </c>
      <c r="Q376">
        <f>_xlfn.RANK.EQ(N376,N$2:N$564)</f>
        <v>361</v>
      </c>
      <c r="R376">
        <f>_xlfn.RANK.EQ(O376,O$2:O$564)</f>
        <v>421</v>
      </c>
      <c r="S376">
        <f>SUM(P376:R376)</f>
        <v>1097</v>
      </c>
      <c r="T376">
        <f>_xlfn.RANK.EQ(S376,S$2:S$564, 1)</f>
        <v>375</v>
      </c>
    </row>
    <row r="377" spans="1:20" x14ac:dyDescent="0.35">
      <c r="A377" t="s">
        <v>277</v>
      </c>
      <c r="B377">
        <v>132.41</v>
      </c>
      <c r="C377">
        <v>34.36</v>
      </c>
      <c r="D377">
        <v>40.770000000000003</v>
      </c>
      <c r="E377">
        <v>110.4</v>
      </c>
      <c r="F377">
        <v>12.11</v>
      </c>
      <c r="G377">
        <v>0</v>
      </c>
      <c r="H377">
        <v>1</v>
      </c>
      <c r="I377">
        <v>5</v>
      </c>
      <c r="J377">
        <v>0</v>
      </c>
      <c r="K377">
        <v>0</v>
      </c>
      <c r="L377">
        <v>2</v>
      </c>
      <c r="M377" s="1">
        <f>C377/$B377-1</f>
        <v>-0.74050298315837171</v>
      </c>
      <c r="N377" s="1">
        <f>D377/$B377-1</f>
        <v>-0.69209274224001205</v>
      </c>
      <c r="O377" s="1">
        <f>E377/$B377-1</f>
        <v>-0.16622611585227698</v>
      </c>
      <c r="P377">
        <f>_xlfn.RANK.EQ(M377,M$2:M$564)</f>
        <v>348</v>
      </c>
      <c r="Q377">
        <f>_xlfn.RANK.EQ(N377,N$2:N$564)</f>
        <v>379</v>
      </c>
      <c r="R377">
        <f>_xlfn.RANK.EQ(O377,O$2:O$564)</f>
        <v>370</v>
      </c>
      <c r="S377">
        <f>SUM(P377:R377)</f>
        <v>1097</v>
      </c>
      <c r="T377">
        <f>_xlfn.RANK.EQ(S377,S$2:S$564, 1)</f>
        <v>375</v>
      </c>
    </row>
    <row r="378" spans="1:20" x14ac:dyDescent="0.35">
      <c r="A378" t="s">
        <v>278</v>
      </c>
      <c r="B378">
        <v>110.95</v>
      </c>
      <c r="C378">
        <v>32.840000000000003</v>
      </c>
      <c r="D378">
        <v>36.06</v>
      </c>
      <c r="E378">
        <v>73.09</v>
      </c>
      <c r="F378">
        <v>11.98</v>
      </c>
      <c r="G378">
        <v>0</v>
      </c>
      <c r="H378">
        <v>1</v>
      </c>
      <c r="I378">
        <v>5</v>
      </c>
      <c r="J378">
        <v>0</v>
      </c>
      <c r="K378">
        <v>0</v>
      </c>
      <c r="L378">
        <v>2</v>
      </c>
      <c r="M378" s="1">
        <f>C378/$B378-1</f>
        <v>-0.70401081568273993</v>
      </c>
      <c r="N378" s="1">
        <f>D378/$B378-1</f>
        <v>-0.67498873366381251</v>
      </c>
      <c r="O378" s="1">
        <f>E378/$B378-1</f>
        <v>-0.34123479044614691</v>
      </c>
      <c r="P378">
        <f>_xlfn.RANK.EQ(M378,M$2:M$564)</f>
        <v>321</v>
      </c>
      <c r="Q378">
        <f>_xlfn.RANK.EQ(N378,N$2:N$564)</f>
        <v>368</v>
      </c>
      <c r="R378">
        <f>_xlfn.RANK.EQ(O378,O$2:O$564)</f>
        <v>415</v>
      </c>
      <c r="S378">
        <f>SUM(P378:R378)</f>
        <v>1104</v>
      </c>
      <c r="T378">
        <f>_xlfn.RANK.EQ(S378,S$2:S$564, 1)</f>
        <v>377</v>
      </c>
    </row>
    <row r="379" spans="1:20" x14ac:dyDescent="0.35">
      <c r="A379" t="s">
        <v>69</v>
      </c>
      <c r="B379">
        <v>103.49</v>
      </c>
      <c r="C379">
        <v>25.56</v>
      </c>
      <c r="D379">
        <v>34.07</v>
      </c>
      <c r="E379">
        <v>83.02</v>
      </c>
      <c r="F379">
        <v>11.19</v>
      </c>
      <c r="G379">
        <v>1</v>
      </c>
      <c r="H379">
        <v>2</v>
      </c>
      <c r="I379">
        <v>5</v>
      </c>
      <c r="J379">
        <v>0</v>
      </c>
      <c r="K379">
        <v>1</v>
      </c>
      <c r="L379">
        <v>2</v>
      </c>
      <c r="M379" s="1">
        <f>C379/$B379-1</f>
        <v>-0.75301961542177986</v>
      </c>
      <c r="N379" s="1">
        <f>D379/$B379-1</f>
        <v>-0.67078944825587006</v>
      </c>
      <c r="O379" s="1">
        <f>E379/$B379-1</f>
        <v>-0.19779688858826938</v>
      </c>
      <c r="P379">
        <f>_xlfn.RANK.EQ(M379,M$2:M$564)</f>
        <v>360</v>
      </c>
      <c r="Q379">
        <f>_xlfn.RANK.EQ(N379,N$2:N$564)</f>
        <v>365</v>
      </c>
      <c r="R379">
        <f>_xlfn.RANK.EQ(O379,O$2:O$564)</f>
        <v>380</v>
      </c>
      <c r="S379">
        <f>SUM(P379:R379)</f>
        <v>1105</v>
      </c>
      <c r="T379">
        <f>_xlfn.RANK.EQ(S379,S$2:S$564, 1)</f>
        <v>378</v>
      </c>
    </row>
    <row r="380" spans="1:20" x14ac:dyDescent="0.35">
      <c r="A380" t="s">
        <v>316</v>
      </c>
      <c r="B380">
        <v>102.99</v>
      </c>
      <c r="C380">
        <v>0.4</v>
      </c>
      <c r="D380">
        <v>16.28</v>
      </c>
      <c r="E380">
        <v>262.73</v>
      </c>
      <c r="F380">
        <v>13.3</v>
      </c>
      <c r="G380">
        <v>2</v>
      </c>
      <c r="H380">
        <v>10</v>
      </c>
      <c r="I380">
        <v>18</v>
      </c>
      <c r="J380">
        <v>0</v>
      </c>
      <c r="K380">
        <v>0</v>
      </c>
      <c r="L380">
        <v>2</v>
      </c>
      <c r="M380" s="1">
        <f>C380/$B380-1</f>
        <v>-0.99611612777939607</v>
      </c>
      <c r="N380" s="1">
        <f>D380/$B380-1</f>
        <v>-0.84192640062141955</v>
      </c>
      <c r="O380" s="1">
        <f>E380/$B380-1</f>
        <v>1.5510243712981846</v>
      </c>
      <c r="P380">
        <f>_xlfn.RANK.EQ(M380,M$2:M$564)</f>
        <v>519</v>
      </c>
      <c r="Q380">
        <f>_xlfn.RANK.EQ(N380,N$2:N$564)</f>
        <v>465</v>
      </c>
      <c r="R380">
        <f>_xlfn.RANK.EQ(O380,O$2:O$564)</f>
        <v>124</v>
      </c>
      <c r="S380">
        <f>SUM(P380:R380)</f>
        <v>1108</v>
      </c>
      <c r="T380">
        <f>_xlfn.RANK.EQ(S380,S$2:S$564, 1)</f>
        <v>379</v>
      </c>
    </row>
    <row r="381" spans="1:20" x14ac:dyDescent="0.35">
      <c r="A381" t="s">
        <v>397</v>
      </c>
      <c r="B381">
        <v>257.16000000000003</v>
      </c>
      <c r="C381">
        <v>61.4</v>
      </c>
      <c r="D381">
        <v>83.83</v>
      </c>
      <c r="E381">
        <v>202.66</v>
      </c>
      <c r="F381">
        <v>11.53</v>
      </c>
      <c r="G381">
        <v>1</v>
      </c>
      <c r="H381">
        <v>4</v>
      </c>
      <c r="I381">
        <v>8</v>
      </c>
      <c r="J381">
        <v>0</v>
      </c>
      <c r="K381">
        <v>0</v>
      </c>
      <c r="L381">
        <v>2</v>
      </c>
      <c r="M381" s="1">
        <f>C381/$B381-1</f>
        <v>-0.76123813967957699</v>
      </c>
      <c r="N381" s="1">
        <f>D381/$B381-1</f>
        <v>-0.67401617669933112</v>
      </c>
      <c r="O381" s="1">
        <f>E381/$B381-1</f>
        <v>-0.21193031575672738</v>
      </c>
      <c r="P381">
        <f>_xlfn.RANK.EQ(M381,M$2:M$564)</f>
        <v>366</v>
      </c>
      <c r="Q381">
        <f>_xlfn.RANK.EQ(N381,N$2:N$564)</f>
        <v>367</v>
      </c>
      <c r="R381">
        <f>_xlfn.RANK.EQ(O381,O$2:O$564)</f>
        <v>384</v>
      </c>
      <c r="S381">
        <f>SUM(P381:R381)</f>
        <v>1117</v>
      </c>
      <c r="T381">
        <f>_xlfn.RANK.EQ(S381,S$2:S$564, 1)</f>
        <v>380</v>
      </c>
    </row>
    <row r="382" spans="1:20" x14ac:dyDescent="0.35">
      <c r="A382" t="s">
        <v>433</v>
      </c>
      <c r="B382">
        <v>29.1</v>
      </c>
      <c r="C382">
        <v>-14.85</v>
      </c>
      <c r="D382">
        <v>-21.7</v>
      </c>
      <c r="E382">
        <v>416.42</v>
      </c>
      <c r="F382">
        <v>8.75</v>
      </c>
      <c r="G382">
        <v>2</v>
      </c>
      <c r="H382">
        <v>10</v>
      </c>
      <c r="I382">
        <v>18</v>
      </c>
      <c r="J382">
        <v>1</v>
      </c>
      <c r="K382">
        <v>5</v>
      </c>
      <c r="L382">
        <v>9</v>
      </c>
      <c r="M382" s="1">
        <f>C382/$B382-1</f>
        <v>-1.5103092783505154</v>
      </c>
      <c r="N382" s="1">
        <f>D382/$B382-1</f>
        <v>-1.7457044673539519</v>
      </c>
      <c r="O382" s="1">
        <f>E382/$B382-1</f>
        <v>13.309965635738832</v>
      </c>
      <c r="P382">
        <f>_xlfn.RANK.EQ(M382,M$2:M$564)</f>
        <v>554</v>
      </c>
      <c r="Q382">
        <f>_xlfn.RANK.EQ(N382,N$2:N$564)</f>
        <v>557</v>
      </c>
      <c r="R382">
        <f>_xlfn.RANK.EQ(O382,O$2:O$564)</f>
        <v>8</v>
      </c>
      <c r="S382">
        <f>SUM(P382:R382)</f>
        <v>1119</v>
      </c>
      <c r="T382">
        <f>_xlfn.RANK.EQ(S382,S$2:S$564, 1)</f>
        <v>381</v>
      </c>
    </row>
    <row r="383" spans="1:20" x14ac:dyDescent="0.35">
      <c r="A383" t="s">
        <v>343</v>
      </c>
      <c r="B383">
        <v>49.03</v>
      </c>
      <c r="C383">
        <v>8.4600000000000009</v>
      </c>
      <c r="D383">
        <v>13.41</v>
      </c>
      <c r="E383">
        <v>53.45</v>
      </c>
      <c r="F383">
        <v>11.18</v>
      </c>
      <c r="G383">
        <v>2</v>
      </c>
      <c r="H383">
        <v>8</v>
      </c>
      <c r="I383">
        <v>15</v>
      </c>
      <c r="J383">
        <v>0</v>
      </c>
      <c r="K383">
        <v>1</v>
      </c>
      <c r="L383">
        <v>2</v>
      </c>
      <c r="M383" s="1">
        <f>C383/$B383-1</f>
        <v>-0.8274525800530288</v>
      </c>
      <c r="N383" s="1">
        <f>D383/$B383-1</f>
        <v>-0.7264939832755456</v>
      </c>
      <c r="O383" s="1">
        <f>E383/$B383-1</f>
        <v>9.0148888435651608E-2</v>
      </c>
      <c r="P383">
        <f>_xlfn.RANK.EQ(M383,M$2:M$564)</f>
        <v>425</v>
      </c>
      <c r="Q383">
        <f>_xlfn.RANK.EQ(N383,N$2:N$564)</f>
        <v>398</v>
      </c>
      <c r="R383">
        <f>_xlfn.RANK.EQ(O383,O$2:O$564)</f>
        <v>297</v>
      </c>
      <c r="S383">
        <f>SUM(P383:R383)</f>
        <v>1120</v>
      </c>
      <c r="T383">
        <f>_xlfn.RANK.EQ(S383,S$2:S$564, 1)</f>
        <v>382</v>
      </c>
    </row>
    <row r="384" spans="1:20" x14ac:dyDescent="0.35">
      <c r="A384" t="s">
        <v>102</v>
      </c>
      <c r="B384">
        <v>102.71</v>
      </c>
      <c r="C384">
        <v>14.22</v>
      </c>
      <c r="D384">
        <v>27.04</v>
      </c>
      <c r="E384">
        <v>128.71</v>
      </c>
      <c r="F384">
        <v>11.6</v>
      </c>
      <c r="G384">
        <v>2</v>
      </c>
      <c r="H384">
        <v>8</v>
      </c>
      <c r="I384">
        <v>14</v>
      </c>
      <c r="J384">
        <v>0</v>
      </c>
      <c r="K384">
        <v>0</v>
      </c>
      <c r="L384">
        <v>2</v>
      </c>
      <c r="M384" s="1">
        <f>C384/$B384-1</f>
        <v>-0.86155194236199006</v>
      </c>
      <c r="N384" s="1">
        <f>D384/$B384-1</f>
        <v>-0.73673449518060563</v>
      </c>
      <c r="O384" s="1">
        <f>E384/$B384-1</f>
        <v>0.25313990848018708</v>
      </c>
      <c r="P384">
        <f>_xlfn.RANK.EQ(M384,M$2:M$564)</f>
        <v>453</v>
      </c>
      <c r="Q384">
        <f>_xlfn.RANK.EQ(N384,N$2:N$564)</f>
        <v>406</v>
      </c>
      <c r="R384">
        <f>_xlfn.RANK.EQ(O384,O$2:O$564)</f>
        <v>264</v>
      </c>
      <c r="S384">
        <f>SUM(P384:R384)</f>
        <v>1123</v>
      </c>
      <c r="T384">
        <f>_xlfn.RANK.EQ(S384,S$2:S$564, 1)</f>
        <v>383</v>
      </c>
    </row>
    <row r="385" spans="1:20" x14ac:dyDescent="0.35">
      <c r="A385" t="s">
        <v>117</v>
      </c>
      <c r="B385">
        <v>365.9</v>
      </c>
      <c r="C385">
        <v>91.57</v>
      </c>
      <c r="D385">
        <v>121.28</v>
      </c>
      <c r="E385">
        <v>259.39</v>
      </c>
      <c r="F385">
        <v>11.27</v>
      </c>
      <c r="G385">
        <v>1</v>
      </c>
      <c r="H385">
        <v>3</v>
      </c>
      <c r="I385">
        <v>6</v>
      </c>
      <c r="J385">
        <v>0</v>
      </c>
      <c r="K385">
        <v>0</v>
      </c>
      <c r="L385">
        <v>2</v>
      </c>
      <c r="M385" s="1">
        <f>C385/$B385-1</f>
        <v>-0.74974036622027884</v>
      </c>
      <c r="N385" s="1">
        <f>D385/$B385-1</f>
        <v>-0.66854331784640608</v>
      </c>
      <c r="O385" s="1">
        <f>E385/$B385-1</f>
        <v>-0.29109046187482923</v>
      </c>
      <c r="P385">
        <f>_xlfn.RANK.EQ(M385,M$2:M$564)</f>
        <v>355</v>
      </c>
      <c r="Q385">
        <f>_xlfn.RANK.EQ(N385,N$2:N$564)</f>
        <v>363</v>
      </c>
      <c r="R385">
        <f>_xlfn.RANK.EQ(O385,O$2:O$564)</f>
        <v>407</v>
      </c>
      <c r="S385">
        <f>SUM(P385:R385)</f>
        <v>1125</v>
      </c>
      <c r="T385">
        <f>_xlfn.RANK.EQ(S385,S$2:S$564, 1)</f>
        <v>384</v>
      </c>
    </row>
    <row r="386" spans="1:20" x14ac:dyDescent="0.35">
      <c r="A386" t="s">
        <v>305</v>
      </c>
      <c r="B386">
        <v>361.77</v>
      </c>
      <c r="C386">
        <v>38.6</v>
      </c>
      <c r="D386">
        <v>66.930000000000007</v>
      </c>
      <c r="E386">
        <v>552.33000000000004</v>
      </c>
      <c r="F386">
        <v>12.82</v>
      </c>
      <c r="G386">
        <v>2</v>
      </c>
      <c r="H386">
        <v>10</v>
      </c>
      <c r="I386">
        <v>18</v>
      </c>
      <c r="J386">
        <v>0</v>
      </c>
      <c r="K386">
        <v>0</v>
      </c>
      <c r="L386">
        <v>2</v>
      </c>
      <c r="M386" s="1">
        <f>C386/$B386-1</f>
        <v>-0.89330237443679683</v>
      </c>
      <c r="N386" s="1">
        <f>D386/$B386-1</f>
        <v>-0.81499295132266358</v>
      </c>
      <c r="O386" s="1">
        <f>E386/$B386-1</f>
        <v>0.52674351107056983</v>
      </c>
      <c r="P386">
        <f>_xlfn.RANK.EQ(M386,M$2:M$564)</f>
        <v>464</v>
      </c>
      <c r="Q386">
        <f>_xlfn.RANK.EQ(N386,N$2:N$564)</f>
        <v>451</v>
      </c>
      <c r="R386">
        <f>_xlfn.RANK.EQ(O386,O$2:O$564)</f>
        <v>215</v>
      </c>
      <c r="S386">
        <f>SUM(P386:R386)</f>
        <v>1130</v>
      </c>
      <c r="T386">
        <f>_xlfn.RANK.EQ(S386,S$2:S$564, 1)</f>
        <v>385</v>
      </c>
    </row>
    <row r="387" spans="1:20" x14ac:dyDescent="0.35">
      <c r="A387" t="s">
        <v>298</v>
      </c>
      <c r="B387">
        <v>24.06</v>
      </c>
      <c r="C387">
        <v>2.67</v>
      </c>
      <c r="D387">
        <v>6.33</v>
      </c>
      <c r="E387">
        <v>30.19</v>
      </c>
      <c r="F387">
        <v>12.65</v>
      </c>
      <c r="G387">
        <v>1</v>
      </c>
      <c r="H387">
        <v>4</v>
      </c>
      <c r="I387">
        <v>8</v>
      </c>
      <c r="J387">
        <v>0</v>
      </c>
      <c r="K387">
        <v>0</v>
      </c>
      <c r="L387">
        <v>2</v>
      </c>
      <c r="M387" s="1">
        <f>C387/$B387-1</f>
        <v>-0.88902743142144636</v>
      </c>
      <c r="N387" s="1">
        <f>D387/$B387-1</f>
        <v>-0.73690773067331672</v>
      </c>
      <c r="O387" s="1">
        <f>E387/$B387-1</f>
        <v>0.25477971737323379</v>
      </c>
      <c r="P387">
        <f>_xlfn.RANK.EQ(M387,M$2:M$564)</f>
        <v>460</v>
      </c>
      <c r="Q387">
        <f>_xlfn.RANK.EQ(N387,N$2:N$564)</f>
        <v>407</v>
      </c>
      <c r="R387">
        <f>_xlfn.RANK.EQ(O387,O$2:O$564)</f>
        <v>263</v>
      </c>
      <c r="S387">
        <f>SUM(P387:R387)</f>
        <v>1130</v>
      </c>
      <c r="T387">
        <f>_xlfn.RANK.EQ(S387,S$2:S$564, 1)</f>
        <v>385</v>
      </c>
    </row>
    <row r="388" spans="1:20" x14ac:dyDescent="0.35">
      <c r="A388" t="s">
        <v>238</v>
      </c>
      <c r="B388">
        <v>425.45</v>
      </c>
      <c r="C388">
        <v>80.930000000000007</v>
      </c>
      <c r="D388">
        <v>127.46</v>
      </c>
      <c r="E388">
        <v>396.23</v>
      </c>
      <c r="F388">
        <v>10.66</v>
      </c>
      <c r="G388">
        <v>2</v>
      </c>
      <c r="H388">
        <v>7</v>
      </c>
      <c r="I388">
        <v>12</v>
      </c>
      <c r="J388">
        <v>0</v>
      </c>
      <c r="K388">
        <v>1</v>
      </c>
      <c r="L388">
        <v>2</v>
      </c>
      <c r="M388" s="1">
        <f>C388/$B388-1</f>
        <v>-0.8097778822423316</v>
      </c>
      <c r="N388" s="1">
        <f>D388/$B388-1</f>
        <v>-0.70041132918086735</v>
      </c>
      <c r="O388" s="1">
        <f>E388/$B388-1</f>
        <v>-6.8680220942531345E-2</v>
      </c>
      <c r="P388">
        <f>_xlfn.RANK.EQ(M388,M$2:M$564)</f>
        <v>404</v>
      </c>
      <c r="Q388">
        <f>_xlfn.RANK.EQ(N388,N$2:N$564)</f>
        <v>384</v>
      </c>
      <c r="R388">
        <f>_xlfn.RANK.EQ(O388,O$2:O$564)</f>
        <v>344</v>
      </c>
      <c r="S388">
        <f>SUM(P388:R388)</f>
        <v>1132</v>
      </c>
      <c r="T388">
        <f>_xlfn.RANK.EQ(S388,S$2:S$564, 1)</f>
        <v>387</v>
      </c>
    </row>
    <row r="389" spans="1:20" x14ac:dyDescent="0.35">
      <c r="A389" t="s">
        <v>467</v>
      </c>
      <c r="B389">
        <v>64.69</v>
      </c>
      <c r="C389">
        <v>17.829999999999998</v>
      </c>
      <c r="D389">
        <v>22.13</v>
      </c>
      <c r="E389">
        <v>36.729999999999997</v>
      </c>
      <c r="F389">
        <v>10.11</v>
      </c>
      <c r="G389">
        <v>0</v>
      </c>
      <c r="H389">
        <v>2</v>
      </c>
      <c r="I389">
        <v>5</v>
      </c>
      <c r="J389">
        <v>0</v>
      </c>
      <c r="K389">
        <v>1</v>
      </c>
      <c r="L389">
        <v>2</v>
      </c>
      <c r="M389" s="1">
        <f>C389/$B389-1</f>
        <v>-0.72437780182408407</v>
      </c>
      <c r="N389" s="1">
        <f>D389/$B389-1</f>
        <v>-0.65790694079455869</v>
      </c>
      <c r="O389" s="1">
        <f>E389/$B389-1</f>
        <v>-0.43221518008965842</v>
      </c>
      <c r="P389">
        <f>_xlfn.RANK.EQ(M389,M$2:M$564)</f>
        <v>338</v>
      </c>
      <c r="Q389">
        <f>_xlfn.RANK.EQ(N389,N$2:N$564)</f>
        <v>356</v>
      </c>
      <c r="R389">
        <f>_xlfn.RANK.EQ(O389,O$2:O$564)</f>
        <v>442</v>
      </c>
      <c r="S389">
        <f>SUM(P389:R389)</f>
        <v>1136</v>
      </c>
      <c r="T389">
        <f>_xlfn.RANK.EQ(S389,S$2:S$564, 1)</f>
        <v>388</v>
      </c>
    </row>
    <row r="390" spans="1:20" x14ac:dyDescent="0.35">
      <c r="A390" t="s">
        <v>280</v>
      </c>
      <c r="B390">
        <v>14.86</v>
      </c>
      <c r="C390">
        <v>3.8</v>
      </c>
      <c r="D390">
        <v>3.99</v>
      </c>
      <c r="E390">
        <v>11.63</v>
      </c>
      <c r="F390">
        <v>14.08</v>
      </c>
      <c r="G390">
        <v>-3</v>
      </c>
      <c r="H390">
        <v>1</v>
      </c>
      <c r="I390">
        <v>5</v>
      </c>
      <c r="J390">
        <v>0</v>
      </c>
      <c r="K390">
        <v>0</v>
      </c>
      <c r="L390">
        <v>2</v>
      </c>
      <c r="M390" s="1">
        <f>C390/$B390-1</f>
        <v>-0.74427994616419912</v>
      </c>
      <c r="N390" s="1">
        <f>D390/$B390-1</f>
        <v>-0.73149394347240915</v>
      </c>
      <c r="O390" s="1">
        <f>E390/$B390-1</f>
        <v>-0.21736204576043061</v>
      </c>
      <c r="P390">
        <f>_xlfn.RANK.EQ(M390,M$2:M$564)</f>
        <v>350</v>
      </c>
      <c r="Q390">
        <f>_xlfn.RANK.EQ(N390,N$2:N$564)</f>
        <v>400</v>
      </c>
      <c r="R390">
        <f>_xlfn.RANK.EQ(O390,O$2:O$564)</f>
        <v>387</v>
      </c>
      <c r="S390">
        <f>SUM(P390:R390)</f>
        <v>1137</v>
      </c>
      <c r="T390">
        <f>_xlfn.RANK.EQ(S390,S$2:S$564, 1)</f>
        <v>389</v>
      </c>
    </row>
    <row r="391" spans="1:20" x14ac:dyDescent="0.35">
      <c r="A391" t="s">
        <v>248</v>
      </c>
      <c r="B391">
        <v>382.53</v>
      </c>
      <c r="C391">
        <v>59.56</v>
      </c>
      <c r="D391">
        <v>98.43</v>
      </c>
      <c r="E391">
        <v>420.04</v>
      </c>
      <c r="F391">
        <v>11.93</v>
      </c>
      <c r="G391">
        <v>1</v>
      </c>
      <c r="H391">
        <v>6</v>
      </c>
      <c r="I391">
        <v>11</v>
      </c>
      <c r="J391">
        <v>0</v>
      </c>
      <c r="K391">
        <v>0</v>
      </c>
      <c r="L391">
        <v>2</v>
      </c>
      <c r="M391" s="1">
        <f>C391/$B391-1</f>
        <v>-0.84429979348024986</v>
      </c>
      <c r="N391" s="1">
        <f>D391/$B391-1</f>
        <v>-0.7426868480903458</v>
      </c>
      <c r="O391" s="1">
        <f>E391/$B391-1</f>
        <v>9.8057668679580878E-2</v>
      </c>
      <c r="P391">
        <f>_xlfn.RANK.EQ(M391,M$2:M$564)</f>
        <v>435</v>
      </c>
      <c r="Q391">
        <f>_xlfn.RANK.EQ(N391,N$2:N$564)</f>
        <v>412</v>
      </c>
      <c r="R391">
        <f>_xlfn.RANK.EQ(O391,O$2:O$564)</f>
        <v>296</v>
      </c>
      <c r="S391">
        <f>SUM(P391:R391)</f>
        <v>1143</v>
      </c>
      <c r="T391">
        <f>_xlfn.RANK.EQ(S391,S$2:S$564, 1)</f>
        <v>390</v>
      </c>
    </row>
    <row r="392" spans="1:20" x14ac:dyDescent="0.35">
      <c r="A392" t="s">
        <v>371</v>
      </c>
      <c r="B392">
        <v>279.2</v>
      </c>
      <c r="C392">
        <v>52.58</v>
      </c>
      <c r="D392">
        <v>76.44</v>
      </c>
      <c r="E392">
        <v>260.17</v>
      </c>
      <c r="F392">
        <v>12.88</v>
      </c>
      <c r="G392">
        <v>1</v>
      </c>
      <c r="H392">
        <v>4</v>
      </c>
      <c r="I392">
        <v>8</v>
      </c>
      <c r="J392">
        <v>0</v>
      </c>
      <c r="K392">
        <v>0</v>
      </c>
      <c r="L392">
        <v>2</v>
      </c>
      <c r="M392" s="1">
        <f>C392/$B392-1</f>
        <v>-0.81167621776504295</v>
      </c>
      <c r="N392" s="1">
        <f>D392/$B392-1</f>
        <v>-0.72621776504297997</v>
      </c>
      <c r="O392" s="1">
        <f>E392/$B392-1</f>
        <v>-6.815902578796551E-2</v>
      </c>
      <c r="P392">
        <f>_xlfn.RANK.EQ(M392,M$2:M$564)</f>
        <v>406</v>
      </c>
      <c r="Q392">
        <f>_xlfn.RANK.EQ(N392,N$2:N$564)</f>
        <v>396</v>
      </c>
      <c r="R392">
        <f>_xlfn.RANK.EQ(O392,O$2:O$564)</f>
        <v>342</v>
      </c>
      <c r="S392">
        <f>SUM(P392:R392)</f>
        <v>1144</v>
      </c>
      <c r="T392">
        <f>_xlfn.RANK.EQ(S392,S$2:S$564, 1)</f>
        <v>391</v>
      </c>
    </row>
    <row r="393" spans="1:20" x14ac:dyDescent="0.35">
      <c r="A393" t="s">
        <v>371</v>
      </c>
      <c r="B393">
        <v>279.2</v>
      </c>
      <c r="C393">
        <v>52.58</v>
      </c>
      <c r="D393">
        <v>76.44</v>
      </c>
      <c r="E393">
        <v>260.17</v>
      </c>
      <c r="F393">
        <v>12.88</v>
      </c>
      <c r="G393">
        <v>1</v>
      </c>
      <c r="H393">
        <v>4</v>
      </c>
      <c r="I393">
        <v>8</v>
      </c>
      <c r="J393">
        <v>0</v>
      </c>
      <c r="K393">
        <v>0</v>
      </c>
      <c r="L393">
        <v>2</v>
      </c>
      <c r="M393" s="1">
        <f>C393/$B393-1</f>
        <v>-0.81167621776504295</v>
      </c>
      <c r="N393" s="1">
        <f>D393/$B393-1</f>
        <v>-0.72621776504297997</v>
      </c>
      <c r="O393" s="1">
        <f>E393/$B393-1</f>
        <v>-6.815902578796551E-2</v>
      </c>
      <c r="P393">
        <f>_xlfn.RANK.EQ(M393,M$2:M$564)</f>
        <v>406</v>
      </c>
      <c r="Q393">
        <f>_xlfn.RANK.EQ(N393,N$2:N$564)</f>
        <v>396</v>
      </c>
      <c r="R393">
        <f>_xlfn.RANK.EQ(O393,O$2:O$564)</f>
        <v>342</v>
      </c>
      <c r="S393">
        <f>SUM(P393:R393)</f>
        <v>1144</v>
      </c>
      <c r="T393">
        <f>_xlfn.RANK.EQ(S393,S$2:S$564, 1)</f>
        <v>391</v>
      </c>
    </row>
    <row r="394" spans="1:20" x14ac:dyDescent="0.35">
      <c r="A394" t="s">
        <v>187</v>
      </c>
      <c r="B394">
        <v>172.38</v>
      </c>
      <c r="C394">
        <v>50.26</v>
      </c>
      <c r="D394">
        <v>54.04</v>
      </c>
      <c r="E394">
        <v>92.49</v>
      </c>
      <c r="F394">
        <v>11.05</v>
      </c>
      <c r="G394">
        <v>-1</v>
      </c>
      <c r="H394">
        <v>1</v>
      </c>
      <c r="I394">
        <v>5</v>
      </c>
      <c r="J394">
        <v>0</v>
      </c>
      <c r="K394">
        <v>1</v>
      </c>
      <c r="L394">
        <v>2</v>
      </c>
      <c r="M394" s="1">
        <f>C394/$B394-1</f>
        <v>-0.70843485323123334</v>
      </c>
      <c r="N394" s="1">
        <f>D394/$B394-1</f>
        <v>-0.68650655528483584</v>
      </c>
      <c r="O394" s="1">
        <f>E394/$B394-1</f>
        <v>-0.46345283675600424</v>
      </c>
      <c r="P394">
        <f>_xlfn.RANK.EQ(M394,M$2:M$564)</f>
        <v>324</v>
      </c>
      <c r="Q394">
        <f>_xlfn.RANK.EQ(N394,N$2:N$564)</f>
        <v>376</v>
      </c>
      <c r="R394">
        <f>_xlfn.RANK.EQ(O394,O$2:O$564)</f>
        <v>450</v>
      </c>
      <c r="S394">
        <f>SUM(P394:R394)</f>
        <v>1150</v>
      </c>
      <c r="T394">
        <f>_xlfn.RANK.EQ(S394,S$2:S$564, 1)</f>
        <v>393</v>
      </c>
    </row>
    <row r="395" spans="1:20" x14ac:dyDescent="0.35">
      <c r="A395" t="s">
        <v>517</v>
      </c>
      <c r="B395">
        <v>78.290000000000006</v>
      </c>
      <c r="C395">
        <v>19.760000000000002</v>
      </c>
      <c r="D395">
        <v>23.6</v>
      </c>
      <c r="E395">
        <v>50.67</v>
      </c>
      <c r="F395">
        <v>12.63</v>
      </c>
      <c r="G395">
        <v>0</v>
      </c>
      <c r="H395">
        <v>2</v>
      </c>
      <c r="I395">
        <v>5</v>
      </c>
      <c r="J395">
        <v>0</v>
      </c>
      <c r="K395">
        <v>0</v>
      </c>
      <c r="L395">
        <v>2</v>
      </c>
      <c r="M395" s="1">
        <f>C395/$B395-1</f>
        <v>-0.74760505811725642</v>
      </c>
      <c r="N395" s="1">
        <f>D395/$B395-1</f>
        <v>-0.69855664835866649</v>
      </c>
      <c r="O395" s="1">
        <f>E395/$B395-1</f>
        <v>-0.35279090560735726</v>
      </c>
      <c r="P395">
        <f>_xlfn.RANK.EQ(M395,M$2:M$564)</f>
        <v>354</v>
      </c>
      <c r="Q395">
        <f>_xlfn.RANK.EQ(N395,N$2:N$564)</f>
        <v>381</v>
      </c>
      <c r="R395">
        <f>_xlfn.RANK.EQ(O395,O$2:O$564)</f>
        <v>417</v>
      </c>
      <c r="S395">
        <f>SUM(P395:R395)</f>
        <v>1152</v>
      </c>
      <c r="T395">
        <f>_xlfn.RANK.EQ(S395,S$2:S$564, 1)</f>
        <v>394</v>
      </c>
    </row>
    <row r="396" spans="1:20" x14ac:dyDescent="0.35">
      <c r="A396" t="s">
        <v>279</v>
      </c>
      <c r="B396">
        <v>360.1</v>
      </c>
      <c r="C396">
        <v>95.71</v>
      </c>
      <c r="D396">
        <v>107.92</v>
      </c>
      <c r="E396">
        <v>213.45</v>
      </c>
      <c r="F396">
        <v>11.39</v>
      </c>
      <c r="G396">
        <v>0</v>
      </c>
      <c r="H396">
        <v>1</v>
      </c>
      <c r="I396">
        <v>5</v>
      </c>
      <c r="J396">
        <v>0</v>
      </c>
      <c r="K396">
        <v>1</v>
      </c>
      <c r="L396">
        <v>2</v>
      </c>
      <c r="M396" s="1">
        <f>C396/$B396-1</f>
        <v>-0.73421271868925309</v>
      </c>
      <c r="N396" s="1">
        <f>D396/$B396-1</f>
        <v>-0.70030547070258264</v>
      </c>
      <c r="O396" s="1">
        <f>E396/$B396-1</f>
        <v>-0.40724798667036943</v>
      </c>
      <c r="P396">
        <f>_xlfn.RANK.EQ(M396,M$2:M$564)</f>
        <v>344</v>
      </c>
      <c r="Q396">
        <f>_xlfn.RANK.EQ(N396,N$2:N$564)</f>
        <v>383</v>
      </c>
      <c r="R396">
        <f>_xlfn.RANK.EQ(O396,O$2:O$564)</f>
        <v>432</v>
      </c>
      <c r="S396">
        <f>SUM(P396:R396)</f>
        <v>1159</v>
      </c>
      <c r="T396">
        <f>_xlfn.RANK.EQ(S396,S$2:S$564, 1)</f>
        <v>395</v>
      </c>
    </row>
    <row r="397" spans="1:20" x14ac:dyDescent="0.35">
      <c r="A397" t="s">
        <v>392</v>
      </c>
      <c r="B397">
        <v>38.6</v>
      </c>
      <c r="C397">
        <v>11.11</v>
      </c>
      <c r="D397">
        <v>11.31</v>
      </c>
      <c r="E397">
        <v>21.68</v>
      </c>
      <c r="F397">
        <v>13.02</v>
      </c>
      <c r="G397">
        <v>-3</v>
      </c>
      <c r="H397">
        <v>1</v>
      </c>
      <c r="I397">
        <v>5</v>
      </c>
      <c r="J397">
        <v>0</v>
      </c>
      <c r="K397">
        <v>1</v>
      </c>
      <c r="L397">
        <v>2</v>
      </c>
      <c r="M397" s="1">
        <f>C397/$B397-1</f>
        <v>-0.71217616580310883</v>
      </c>
      <c r="N397" s="1">
        <f>D397/$B397-1</f>
        <v>-0.70699481865284974</v>
      </c>
      <c r="O397" s="1">
        <f>E397/$B397-1</f>
        <v>-0.43834196891191712</v>
      </c>
      <c r="P397">
        <f>_xlfn.RANK.EQ(M397,M$2:M$564)</f>
        <v>328</v>
      </c>
      <c r="Q397">
        <f>_xlfn.RANK.EQ(N397,N$2:N$564)</f>
        <v>387</v>
      </c>
      <c r="R397">
        <f>_xlfn.RANK.EQ(O397,O$2:O$564)</f>
        <v>448</v>
      </c>
      <c r="S397">
        <f>SUM(P397:R397)</f>
        <v>1163</v>
      </c>
      <c r="T397">
        <f>_xlfn.RANK.EQ(S397,S$2:S$564, 1)</f>
        <v>396</v>
      </c>
    </row>
    <row r="398" spans="1:20" x14ac:dyDescent="0.35">
      <c r="A398" t="s">
        <v>478</v>
      </c>
      <c r="B398">
        <v>74.290000000000006</v>
      </c>
      <c r="C398">
        <v>20.49</v>
      </c>
      <c r="D398">
        <v>21.54</v>
      </c>
      <c r="E398">
        <v>43.05</v>
      </c>
      <c r="F398">
        <v>12.41</v>
      </c>
      <c r="G398">
        <v>-1</v>
      </c>
      <c r="H398">
        <v>1</v>
      </c>
      <c r="I398">
        <v>5</v>
      </c>
      <c r="J398">
        <v>0</v>
      </c>
      <c r="K398">
        <v>0</v>
      </c>
      <c r="L398">
        <v>2</v>
      </c>
      <c r="M398" s="1">
        <f>C398/$B398-1</f>
        <v>-0.72418898909678298</v>
      </c>
      <c r="N398" s="1">
        <f>D398/$B398-1</f>
        <v>-0.71005518912370436</v>
      </c>
      <c r="O398" s="1">
        <f>E398/$B398-1</f>
        <v>-0.42051420110378257</v>
      </c>
      <c r="P398">
        <f>_xlfn.RANK.EQ(M398,M$2:M$564)</f>
        <v>337</v>
      </c>
      <c r="Q398">
        <f>_xlfn.RANK.EQ(N398,N$2:N$564)</f>
        <v>389</v>
      </c>
      <c r="R398">
        <f>_xlfn.RANK.EQ(O398,O$2:O$564)</f>
        <v>438</v>
      </c>
      <c r="S398">
        <f>SUM(P398:R398)</f>
        <v>1164</v>
      </c>
      <c r="T398">
        <f>_xlfn.RANK.EQ(S398,S$2:S$564, 1)</f>
        <v>397</v>
      </c>
    </row>
    <row r="399" spans="1:20" x14ac:dyDescent="0.35">
      <c r="A399" t="s">
        <v>213</v>
      </c>
      <c r="B399">
        <v>73</v>
      </c>
      <c r="C399">
        <v>21.03</v>
      </c>
      <c r="D399">
        <v>21.55</v>
      </c>
      <c r="E399">
        <v>38.17</v>
      </c>
      <c r="F399">
        <v>11.29</v>
      </c>
      <c r="G399">
        <v>-3</v>
      </c>
      <c r="H399">
        <v>1</v>
      </c>
      <c r="I399">
        <v>5</v>
      </c>
      <c r="J399">
        <v>0</v>
      </c>
      <c r="K399">
        <v>1</v>
      </c>
      <c r="L399">
        <v>2</v>
      </c>
      <c r="M399" s="1">
        <f>C399/$B399-1</f>
        <v>-0.71191780821917805</v>
      </c>
      <c r="N399" s="1">
        <f>D399/$B399-1</f>
        <v>-0.70479452054794511</v>
      </c>
      <c r="O399" s="1">
        <f>E399/$B399-1</f>
        <v>-0.4771232876712328</v>
      </c>
      <c r="P399">
        <f>_xlfn.RANK.EQ(M399,M$2:M$564)</f>
        <v>327</v>
      </c>
      <c r="Q399">
        <f>_xlfn.RANK.EQ(N399,N$2:N$564)</f>
        <v>386</v>
      </c>
      <c r="R399">
        <f>_xlfn.RANK.EQ(O399,O$2:O$564)</f>
        <v>454</v>
      </c>
      <c r="S399">
        <f>SUM(P399:R399)</f>
        <v>1167</v>
      </c>
      <c r="T399">
        <f>_xlfn.RANK.EQ(S399,S$2:S$564, 1)</f>
        <v>398</v>
      </c>
    </row>
    <row r="400" spans="1:20" x14ac:dyDescent="0.35">
      <c r="A400" t="s">
        <v>420</v>
      </c>
      <c r="B400">
        <v>63.63</v>
      </c>
      <c r="C400">
        <v>7.88</v>
      </c>
      <c r="D400">
        <v>14.84</v>
      </c>
      <c r="E400">
        <v>75.599999999999994</v>
      </c>
      <c r="F400">
        <v>10.43</v>
      </c>
      <c r="G400">
        <v>2</v>
      </c>
      <c r="H400">
        <v>10</v>
      </c>
      <c r="I400">
        <v>18</v>
      </c>
      <c r="J400">
        <v>0</v>
      </c>
      <c r="K400">
        <v>1</v>
      </c>
      <c r="L400">
        <v>2</v>
      </c>
      <c r="M400" s="1">
        <f>C400/$B400-1</f>
        <v>-0.87615904447587623</v>
      </c>
      <c r="N400" s="1">
        <f>D400/$B400-1</f>
        <v>-0.7667766776677668</v>
      </c>
      <c r="O400" s="1">
        <f>E400/$B400-1</f>
        <v>0.18811881188118806</v>
      </c>
      <c r="P400">
        <f>_xlfn.RANK.EQ(M400,M$2:M$564)</f>
        <v>457</v>
      </c>
      <c r="Q400">
        <f>_xlfn.RANK.EQ(N400,N$2:N$564)</f>
        <v>431</v>
      </c>
      <c r="R400">
        <f>_xlfn.RANK.EQ(O400,O$2:O$564)</f>
        <v>280</v>
      </c>
      <c r="S400">
        <f>SUM(P400:R400)</f>
        <v>1168</v>
      </c>
      <c r="T400">
        <f>_xlfn.RANK.EQ(S400,S$2:S$564, 1)</f>
        <v>399</v>
      </c>
    </row>
    <row r="401" spans="1:20" x14ac:dyDescent="0.35">
      <c r="A401" t="s">
        <v>340</v>
      </c>
      <c r="B401">
        <v>86.81</v>
      </c>
      <c r="C401">
        <v>24.01</v>
      </c>
      <c r="D401">
        <v>25.27</v>
      </c>
      <c r="E401">
        <v>48.99</v>
      </c>
      <c r="F401">
        <v>13.17</v>
      </c>
      <c r="G401">
        <v>-1</v>
      </c>
      <c r="H401">
        <v>1</v>
      </c>
      <c r="I401">
        <v>5</v>
      </c>
      <c r="J401">
        <v>0</v>
      </c>
      <c r="K401">
        <v>0</v>
      </c>
      <c r="L401">
        <v>2</v>
      </c>
      <c r="M401" s="1">
        <f>C401/$B401-1</f>
        <v>-0.72341896094919944</v>
      </c>
      <c r="N401" s="1">
        <f>D401/$B401-1</f>
        <v>-0.70890450408939065</v>
      </c>
      <c r="O401" s="1">
        <f>E401/$B401-1</f>
        <v>-0.43566409399838724</v>
      </c>
      <c r="P401">
        <f>_xlfn.RANK.EQ(M401,M$2:M$564)</f>
        <v>336</v>
      </c>
      <c r="Q401">
        <f>_xlfn.RANK.EQ(N401,N$2:N$564)</f>
        <v>388</v>
      </c>
      <c r="R401">
        <f>_xlfn.RANK.EQ(O401,O$2:O$564)</f>
        <v>445</v>
      </c>
      <c r="S401">
        <f>SUM(P401:R401)</f>
        <v>1169</v>
      </c>
      <c r="T401">
        <f>_xlfn.RANK.EQ(S401,S$2:S$564, 1)</f>
        <v>400</v>
      </c>
    </row>
    <row r="402" spans="1:20" x14ac:dyDescent="0.35">
      <c r="A402" t="s">
        <v>329</v>
      </c>
      <c r="B402">
        <v>15.45</v>
      </c>
      <c r="C402">
        <v>3.52</v>
      </c>
      <c r="D402">
        <v>4.0599999999999996</v>
      </c>
      <c r="E402">
        <v>12.06</v>
      </c>
      <c r="F402">
        <v>13.95</v>
      </c>
      <c r="G402">
        <v>0</v>
      </c>
      <c r="H402">
        <v>1</v>
      </c>
      <c r="I402">
        <v>5</v>
      </c>
      <c r="J402">
        <v>0</v>
      </c>
      <c r="K402">
        <v>0</v>
      </c>
      <c r="L402">
        <v>2</v>
      </c>
      <c r="M402" s="1">
        <f>C402/$B402-1</f>
        <v>-0.77216828478964405</v>
      </c>
      <c r="N402" s="1">
        <f>D402/$B402-1</f>
        <v>-0.73721682847896441</v>
      </c>
      <c r="O402" s="1">
        <f>E402/$B402-1</f>
        <v>-0.21941747572815529</v>
      </c>
      <c r="P402">
        <f>_xlfn.RANK.EQ(M402,M$2:M$564)</f>
        <v>375</v>
      </c>
      <c r="Q402">
        <f>_xlfn.RANK.EQ(N402,N$2:N$564)</f>
        <v>408</v>
      </c>
      <c r="R402">
        <f>_xlfn.RANK.EQ(O402,O$2:O$564)</f>
        <v>388</v>
      </c>
      <c r="S402">
        <f>SUM(P402:R402)</f>
        <v>1171</v>
      </c>
      <c r="T402">
        <f>_xlfn.RANK.EQ(S402,S$2:S$564, 1)</f>
        <v>401</v>
      </c>
    </row>
    <row r="403" spans="1:20" x14ac:dyDescent="0.35">
      <c r="A403" t="s">
        <v>329</v>
      </c>
      <c r="B403">
        <v>15.45</v>
      </c>
      <c r="C403">
        <v>3.52</v>
      </c>
      <c r="D403">
        <v>4.0599999999999996</v>
      </c>
      <c r="E403">
        <v>12.06</v>
      </c>
      <c r="F403">
        <v>13.95</v>
      </c>
      <c r="G403">
        <v>0</v>
      </c>
      <c r="H403">
        <v>1</v>
      </c>
      <c r="I403">
        <v>5</v>
      </c>
      <c r="J403">
        <v>0</v>
      </c>
      <c r="K403">
        <v>0</v>
      </c>
      <c r="L403">
        <v>2</v>
      </c>
      <c r="M403" s="1">
        <f>C403/$B403-1</f>
        <v>-0.77216828478964405</v>
      </c>
      <c r="N403" s="1">
        <f>D403/$B403-1</f>
        <v>-0.73721682847896441</v>
      </c>
      <c r="O403" s="1">
        <f>E403/$B403-1</f>
        <v>-0.21941747572815529</v>
      </c>
      <c r="P403">
        <f>_xlfn.RANK.EQ(M403,M$2:M$564)</f>
        <v>375</v>
      </c>
      <c r="Q403">
        <f>_xlfn.RANK.EQ(N403,N$2:N$564)</f>
        <v>408</v>
      </c>
      <c r="R403">
        <f>_xlfn.RANK.EQ(O403,O$2:O$564)</f>
        <v>388</v>
      </c>
      <c r="S403">
        <f>SUM(P403:R403)</f>
        <v>1171</v>
      </c>
      <c r="T403">
        <f>_xlfn.RANK.EQ(S403,S$2:S$564, 1)</f>
        <v>401</v>
      </c>
    </row>
    <row r="404" spans="1:20" x14ac:dyDescent="0.35">
      <c r="A404" t="s">
        <v>295</v>
      </c>
      <c r="B404">
        <v>25</v>
      </c>
      <c r="C404">
        <v>6.95</v>
      </c>
      <c r="D404">
        <v>7.57</v>
      </c>
      <c r="E404">
        <v>12.37</v>
      </c>
      <c r="F404">
        <v>11.39</v>
      </c>
      <c r="G404">
        <v>0</v>
      </c>
      <c r="H404">
        <v>1</v>
      </c>
      <c r="I404">
        <v>5</v>
      </c>
      <c r="J404">
        <v>0</v>
      </c>
      <c r="K404">
        <v>0</v>
      </c>
      <c r="L404">
        <v>2</v>
      </c>
      <c r="M404" s="1">
        <f>C404/$B404-1</f>
        <v>-0.72199999999999998</v>
      </c>
      <c r="N404" s="1">
        <f>D404/$B404-1</f>
        <v>-0.69720000000000004</v>
      </c>
      <c r="O404" s="1">
        <f>E404/$B404-1</f>
        <v>-0.50520000000000009</v>
      </c>
      <c r="P404">
        <f>_xlfn.RANK.EQ(M404,M$2:M$564)</f>
        <v>334</v>
      </c>
      <c r="Q404">
        <f>_xlfn.RANK.EQ(N404,N$2:N$564)</f>
        <v>380</v>
      </c>
      <c r="R404">
        <f>_xlfn.RANK.EQ(O404,O$2:O$564)</f>
        <v>459</v>
      </c>
      <c r="S404">
        <f>SUM(P404:R404)</f>
        <v>1173</v>
      </c>
      <c r="T404">
        <f>_xlfn.RANK.EQ(S404,S$2:S$564, 1)</f>
        <v>403</v>
      </c>
    </row>
    <row r="405" spans="1:20" x14ac:dyDescent="0.35">
      <c r="A405" t="s">
        <v>378</v>
      </c>
      <c r="B405">
        <v>274.73</v>
      </c>
      <c r="C405">
        <v>67.91</v>
      </c>
      <c r="D405">
        <v>88.52</v>
      </c>
      <c r="E405">
        <v>155.15</v>
      </c>
      <c r="F405">
        <v>10.25</v>
      </c>
      <c r="G405">
        <v>1</v>
      </c>
      <c r="H405">
        <v>3</v>
      </c>
      <c r="I405">
        <v>5</v>
      </c>
      <c r="J405">
        <v>0</v>
      </c>
      <c r="K405">
        <v>1</v>
      </c>
      <c r="L405">
        <v>2</v>
      </c>
      <c r="M405" s="1">
        <f>C405/$B405-1</f>
        <v>-0.75281185163615194</v>
      </c>
      <c r="N405" s="1">
        <f>D405/$B405-1</f>
        <v>-0.67779274196483819</v>
      </c>
      <c r="O405" s="1">
        <f>E405/$B405-1</f>
        <v>-0.4352637134641284</v>
      </c>
      <c r="P405">
        <f>_xlfn.RANK.EQ(M405,M$2:M$564)</f>
        <v>359</v>
      </c>
      <c r="Q405">
        <f>_xlfn.RANK.EQ(N405,N$2:N$564)</f>
        <v>371</v>
      </c>
      <c r="R405">
        <f>_xlfn.RANK.EQ(O405,O$2:O$564)</f>
        <v>443</v>
      </c>
      <c r="S405">
        <f>SUM(P405:R405)</f>
        <v>1173</v>
      </c>
      <c r="T405">
        <f>_xlfn.RANK.EQ(S405,S$2:S$564, 1)</f>
        <v>403</v>
      </c>
    </row>
    <row r="406" spans="1:20" x14ac:dyDescent="0.35">
      <c r="A406" t="s">
        <v>261</v>
      </c>
      <c r="B406">
        <v>152.88999999999999</v>
      </c>
      <c r="C406">
        <v>38.65</v>
      </c>
      <c r="D406">
        <v>40.909999999999997</v>
      </c>
      <c r="E406">
        <v>98.58</v>
      </c>
      <c r="F406">
        <v>13.2</v>
      </c>
      <c r="G406">
        <v>-2</v>
      </c>
      <c r="H406">
        <v>1</v>
      </c>
      <c r="I406">
        <v>5</v>
      </c>
      <c r="J406">
        <v>0</v>
      </c>
      <c r="K406">
        <v>0</v>
      </c>
      <c r="L406">
        <v>2</v>
      </c>
      <c r="M406" s="1">
        <f>C406/$B406-1</f>
        <v>-0.74720387206488326</v>
      </c>
      <c r="N406" s="1">
        <f>D406/$B406-1</f>
        <v>-0.73242200274707303</v>
      </c>
      <c r="O406" s="1">
        <f>E406/$B406-1</f>
        <v>-0.35522270913728815</v>
      </c>
      <c r="P406">
        <f>_xlfn.RANK.EQ(M406,M$2:M$564)</f>
        <v>353</v>
      </c>
      <c r="Q406">
        <f>_xlfn.RANK.EQ(N406,N$2:N$564)</f>
        <v>401</v>
      </c>
      <c r="R406">
        <f>_xlfn.RANK.EQ(O406,O$2:O$564)</f>
        <v>420</v>
      </c>
      <c r="S406">
        <f>SUM(P406:R406)</f>
        <v>1174</v>
      </c>
      <c r="T406">
        <f>_xlfn.RANK.EQ(S406,S$2:S$564, 1)</f>
        <v>405</v>
      </c>
    </row>
    <row r="407" spans="1:20" x14ac:dyDescent="0.35">
      <c r="A407" t="s">
        <v>84</v>
      </c>
      <c r="B407">
        <v>482.04</v>
      </c>
      <c r="C407">
        <v>129.27000000000001</v>
      </c>
      <c r="D407">
        <v>144.08000000000001</v>
      </c>
      <c r="E407">
        <v>268.95</v>
      </c>
      <c r="F407">
        <v>11.41</v>
      </c>
      <c r="G407">
        <v>0</v>
      </c>
      <c r="H407">
        <v>1</v>
      </c>
      <c r="I407">
        <v>5</v>
      </c>
      <c r="J407">
        <v>0</v>
      </c>
      <c r="K407">
        <v>0</v>
      </c>
      <c r="L407">
        <v>2</v>
      </c>
      <c r="M407" s="1">
        <f>C407/$B407-1</f>
        <v>-0.73182723425441876</v>
      </c>
      <c r="N407" s="1">
        <f>D407/$B407-1</f>
        <v>-0.70110364285121562</v>
      </c>
      <c r="O407" s="1">
        <f>E407/$B407-1</f>
        <v>-0.44205875031117758</v>
      </c>
      <c r="P407">
        <f>_xlfn.RANK.EQ(M407,M$2:M$564)</f>
        <v>341</v>
      </c>
      <c r="Q407">
        <f>_xlfn.RANK.EQ(N407,N$2:N$564)</f>
        <v>385</v>
      </c>
      <c r="R407">
        <f>_xlfn.RANK.EQ(O407,O$2:O$564)</f>
        <v>449</v>
      </c>
      <c r="S407">
        <f>SUM(P407:R407)</f>
        <v>1175</v>
      </c>
      <c r="T407">
        <f>_xlfn.RANK.EQ(S407,S$2:S$564, 1)</f>
        <v>406</v>
      </c>
    </row>
    <row r="408" spans="1:20" x14ac:dyDescent="0.35">
      <c r="A408" t="s">
        <v>160</v>
      </c>
      <c r="B408">
        <v>1544.05</v>
      </c>
      <c r="C408">
        <v>236.88</v>
      </c>
      <c r="D408">
        <v>480.42</v>
      </c>
      <c r="E408">
        <v>1373.57</v>
      </c>
      <c r="F408">
        <v>8.61</v>
      </c>
      <c r="G408">
        <v>1</v>
      </c>
      <c r="H408">
        <v>6</v>
      </c>
      <c r="I408">
        <v>11</v>
      </c>
      <c r="J408">
        <v>0</v>
      </c>
      <c r="K408">
        <v>1</v>
      </c>
      <c r="L408">
        <v>2</v>
      </c>
      <c r="M408" s="1">
        <f>C408/$B408-1</f>
        <v>-0.8465852789741265</v>
      </c>
      <c r="N408" s="1">
        <f>D408/$B408-1</f>
        <v>-0.68885722612609701</v>
      </c>
      <c r="O408" s="1">
        <f>E408/$B408-1</f>
        <v>-0.11041093228846222</v>
      </c>
      <c r="P408">
        <f>_xlfn.RANK.EQ(M408,M$2:M$564)</f>
        <v>441</v>
      </c>
      <c r="Q408">
        <f>_xlfn.RANK.EQ(N408,N$2:N$564)</f>
        <v>377</v>
      </c>
      <c r="R408">
        <f>_xlfn.RANK.EQ(O408,O$2:O$564)</f>
        <v>357</v>
      </c>
      <c r="S408">
        <f>SUM(P408:R408)</f>
        <v>1175</v>
      </c>
      <c r="T408">
        <f>_xlfn.RANK.EQ(S408,S$2:S$564, 1)</f>
        <v>406</v>
      </c>
    </row>
    <row r="409" spans="1:20" x14ac:dyDescent="0.35">
      <c r="A409" t="s">
        <v>445</v>
      </c>
      <c r="B409">
        <v>758.78</v>
      </c>
      <c r="C409">
        <v>197.82</v>
      </c>
      <c r="D409">
        <v>218.87</v>
      </c>
      <c r="E409">
        <v>433.99</v>
      </c>
      <c r="F409">
        <v>11.66</v>
      </c>
      <c r="G409">
        <v>0</v>
      </c>
      <c r="H409">
        <v>1</v>
      </c>
      <c r="I409">
        <v>5</v>
      </c>
      <c r="J409">
        <v>0</v>
      </c>
      <c r="K409">
        <v>0</v>
      </c>
      <c r="L409">
        <v>2</v>
      </c>
      <c r="M409" s="1">
        <f>C409/$B409-1</f>
        <v>-0.73929202140277817</v>
      </c>
      <c r="N409" s="1">
        <f>D409/$B409-1</f>
        <v>-0.71155011992936035</v>
      </c>
      <c r="O409" s="1">
        <f>E409/$B409-1</f>
        <v>-0.42804238382666915</v>
      </c>
      <c r="P409">
        <f>_xlfn.RANK.EQ(M409,M$2:M$564)</f>
        <v>347</v>
      </c>
      <c r="Q409">
        <f>_xlfn.RANK.EQ(N409,N$2:N$564)</f>
        <v>390</v>
      </c>
      <c r="R409">
        <f>_xlfn.RANK.EQ(O409,O$2:O$564)</f>
        <v>440</v>
      </c>
      <c r="S409">
        <f>SUM(P409:R409)</f>
        <v>1177</v>
      </c>
      <c r="T409">
        <f>_xlfn.RANK.EQ(S409,S$2:S$564, 1)</f>
        <v>408</v>
      </c>
    </row>
    <row r="410" spans="1:20" x14ac:dyDescent="0.35">
      <c r="A410" t="s">
        <v>93</v>
      </c>
      <c r="B410">
        <v>479.46</v>
      </c>
      <c r="C410">
        <v>123.73</v>
      </c>
      <c r="D410">
        <v>136.94</v>
      </c>
      <c r="E410">
        <v>279</v>
      </c>
      <c r="F410">
        <v>12.31</v>
      </c>
      <c r="G410">
        <v>0</v>
      </c>
      <c r="H410">
        <v>1</v>
      </c>
      <c r="I410">
        <v>5</v>
      </c>
      <c r="J410">
        <v>0</v>
      </c>
      <c r="K410">
        <v>0</v>
      </c>
      <c r="L410">
        <v>2</v>
      </c>
      <c r="M410" s="1">
        <f>C410/$B410-1</f>
        <v>-0.741938847870521</v>
      </c>
      <c r="N410" s="1">
        <f>D410/$B410-1</f>
        <v>-0.71438701872940391</v>
      </c>
      <c r="O410" s="1">
        <f>E410/$B410-1</f>
        <v>-0.41809535727693647</v>
      </c>
      <c r="P410">
        <f>_xlfn.RANK.EQ(M410,M$2:M$564)</f>
        <v>349</v>
      </c>
      <c r="Q410">
        <f>_xlfn.RANK.EQ(N410,N$2:N$564)</f>
        <v>392</v>
      </c>
      <c r="R410">
        <f>_xlfn.RANK.EQ(O410,O$2:O$564)</f>
        <v>437</v>
      </c>
      <c r="S410">
        <f>SUM(P410:R410)</f>
        <v>1178</v>
      </c>
      <c r="T410">
        <f>_xlfn.RANK.EQ(S410,S$2:S$564, 1)</f>
        <v>409</v>
      </c>
    </row>
    <row r="411" spans="1:20" x14ac:dyDescent="0.35">
      <c r="A411" t="s">
        <v>70</v>
      </c>
      <c r="B411">
        <v>967.9</v>
      </c>
      <c r="C411">
        <v>205.25</v>
      </c>
      <c r="D411">
        <v>319.45999999999998</v>
      </c>
      <c r="E411">
        <v>603.11</v>
      </c>
      <c r="F411">
        <v>9.33</v>
      </c>
      <c r="G411">
        <v>1</v>
      </c>
      <c r="H411">
        <v>2</v>
      </c>
      <c r="I411">
        <v>5</v>
      </c>
      <c r="J411">
        <v>0</v>
      </c>
      <c r="K411">
        <v>1</v>
      </c>
      <c r="L411">
        <v>2</v>
      </c>
      <c r="M411" s="1">
        <f>C411/$B411-1</f>
        <v>-0.78794296931501184</v>
      </c>
      <c r="N411" s="1">
        <f>D411/$B411-1</f>
        <v>-0.66994524227709473</v>
      </c>
      <c r="O411" s="1">
        <f>E411/$B411-1</f>
        <v>-0.37688810827564834</v>
      </c>
      <c r="P411">
        <f>_xlfn.RANK.EQ(M411,M$2:M$564)</f>
        <v>390</v>
      </c>
      <c r="Q411">
        <f>_xlfn.RANK.EQ(N411,N$2:N$564)</f>
        <v>364</v>
      </c>
      <c r="R411">
        <f>_xlfn.RANK.EQ(O411,O$2:O$564)</f>
        <v>426</v>
      </c>
      <c r="S411">
        <f>SUM(P411:R411)</f>
        <v>1180</v>
      </c>
      <c r="T411">
        <f>_xlfn.RANK.EQ(S411,S$2:S$564, 1)</f>
        <v>410</v>
      </c>
    </row>
    <row r="412" spans="1:20" x14ac:dyDescent="0.35">
      <c r="A412" t="s">
        <v>95</v>
      </c>
      <c r="B412">
        <v>449.68</v>
      </c>
      <c r="C412">
        <v>65.41</v>
      </c>
      <c r="D412">
        <v>114.21</v>
      </c>
      <c r="E412">
        <v>433.71</v>
      </c>
      <c r="F412">
        <v>10.81</v>
      </c>
      <c r="G412">
        <v>2</v>
      </c>
      <c r="H412">
        <v>8</v>
      </c>
      <c r="I412">
        <v>14</v>
      </c>
      <c r="J412">
        <v>0</v>
      </c>
      <c r="K412">
        <v>0</v>
      </c>
      <c r="L412">
        <v>2</v>
      </c>
      <c r="M412" s="1">
        <f>C412/$B412-1</f>
        <v>-0.85454100693826729</v>
      </c>
      <c r="N412" s="1">
        <f>D412/$B412-1</f>
        <v>-0.74601939156733676</v>
      </c>
      <c r="O412" s="1">
        <f>E412/$B412-1</f>
        <v>-3.551414339085579E-2</v>
      </c>
      <c r="P412">
        <f>_xlfn.RANK.EQ(M412,M$2:M$564)</f>
        <v>446</v>
      </c>
      <c r="Q412">
        <f>_xlfn.RANK.EQ(N412,N$2:N$564)</f>
        <v>417</v>
      </c>
      <c r="R412">
        <f>_xlfn.RANK.EQ(O412,O$2:O$564)</f>
        <v>332</v>
      </c>
      <c r="S412">
        <f>SUM(P412:R412)</f>
        <v>1195</v>
      </c>
      <c r="T412">
        <f>_xlfn.RANK.EQ(S412,S$2:S$564, 1)</f>
        <v>411</v>
      </c>
    </row>
    <row r="413" spans="1:20" x14ac:dyDescent="0.35">
      <c r="A413" t="s">
        <v>344</v>
      </c>
      <c r="B413">
        <v>44.27</v>
      </c>
      <c r="C413">
        <v>10.96</v>
      </c>
      <c r="D413">
        <v>11.61</v>
      </c>
      <c r="E413">
        <v>26.97</v>
      </c>
      <c r="F413">
        <v>13.02</v>
      </c>
      <c r="G413">
        <v>-1</v>
      </c>
      <c r="H413">
        <v>1</v>
      </c>
      <c r="I413">
        <v>5</v>
      </c>
      <c r="J413">
        <v>0</v>
      </c>
      <c r="K413">
        <v>0</v>
      </c>
      <c r="L413">
        <v>2</v>
      </c>
      <c r="M413" s="1">
        <f>C413/$B413-1</f>
        <v>-0.75242828100293657</v>
      </c>
      <c r="N413" s="1">
        <f>D413/$B413-1</f>
        <v>-0.73774565168285522</v>
      </c>
      <c r="O413" s="1">
        <f>E413/$B413-1</f>
        <v>-0.3907838265190875</v>
      </c>
      <c r="P413">
        <f>_xlfn.RANK.EQ(M413,M$2:M$564)</f>
        <v>358</v>
      </c>
      <c r="Q413">
        <f>_xlfn.RANK.EQ(N413,N$2:N$564)</f>
        <v>411</v>
      </c>
      <c r="R413">
        <f>_xlfn.RANK.EQ(O413,O$2:O$564)</f>
        <v>429</v>
      </c>
      <c r="S413">
        <f>SUM(P413:R413)</f>
        <v>1198</v>
      </c>
      <c r="T413">
        <f>_xlfn.RANK.EQ(S413,S$2:S$564, 1)</f>
        <v>412</v>
      </c>
    </row>
    <row r="414" spans="1:20" x14ac:dyDescent="0.35">
      <c r="A414" t="s">
        <v>297</v>
      </c>
      <c r="B414">
        <v>17.690000000000001</v>
      </c>
      <c r="C414">
        <v>3.64</v>
      </c>
      <c r="D414">
        <v>4.87</v>
      </c>
      <c r="E414">
        <v>12.35</v>
      </c>
      <c r="F414">
        <v>5.19</v>
      </c>
      <c r="G414">
        <v>-3</v>
      </c>
      <c r="H414">
        <v>1</v>
      </c>
      <c r="I414">
        <v>5</v>
      </c>
      <c r="J414">
        <v>1</v>
      </c>
      <c r="K414">
        <v>5</v>
      </c>
      <c r="L414">
        <v>9</v>
      </c>
      <c r="M414" s="1">
        <f>C414/$B414-1</f>
        <v>-0.79423403052572072</v>
      </c>
      <c r="N414" s="1">
        <f>D414/$B414-1</f>
        <v>-0.72470322215941207</v>
      </c>
      <c r="O414" s="1">
        <f>E414/$B414-1</f>
        <v>-0.30186546071226694</v>
      </c>
      <c r="P414">
        <f>_xlfn.RANK.EQ(M414,M$2:M$564)</f>
        <v>395</v>
      </c>
      <c r="Q414">
        <f>_xlfn.RANK.EQ(N414,N$2:N$564)</f>
        <v>395</v>
      </c>
      <c r="R414">
        <f>_xlfn.RANK.EQ(O414,O$2:O$564)</f>
        <v>409</v>
      </c>
      <c r="S414">
        <f>SUM(P414:R414)</f>
        <v>1199</v>
      </c>
      <c r="T414">
        <f>_xlfn.RANK.EQ(S414,S$2:S$564, 1)</f>
        <v>413</v>
      </c>
    </row>
    <row r="415" spans="1:20" x14ac:dyDescent="0.35">
      <c r="A415" t="s">
        <v>91</v>
      </c>
      <c r="B415">
        <v>95.89</v>
      </c>
      <c r="C415">
        <v>11.51</v>
      </c>
      <c r="D415">
        <v>20.36</v>
      </c>
      <c r="E415">
        <v>102.53</v>
      </c>
      <c r="F415">
        <v>11.61</v>
      </c>
      <c r="G415">
        <v>2</v>
      </c>
      <c r="H415">
        <v>8</v>
      </c>
      <c r="I415">
        <v>14</v>
      </c>
      <c r="J415">
        <v>0</v>
      </c>
      <c r="K415">
        <v>1</v>
      </c>
      <c r="L415">
        <v>2</v>
      </c>
      <c r="M415" s="1">
        <f>C415/$B415-1</f>
        <v>-0.87996662842840756</v>
      </c>
      <c r="N415" s="1">
        <f>D415/$B415-1</f>
        <v>-0.78767337574303897</v>
      </c>
      <c r="O415" s="1">
        <f>E415/$B415-1</f>
        <v>6.9246011054333145E-2</v>
      </c>
      <c r="P415">
        <f>_xlfn.RANK.EQ(M415,M$2:M$564)</f>
        <v>458</v>
      </c>
      <c r="Q415">
        <f>_xlfn.RANK.EQ(N415,N$2:N$564)</f>
        <v>442</v>
      </c>
      <c r="R415">
        <f>_xlfn.RANK.EQ(O415,O$2:O$564)</f>
        <v>300</v>
      </c>
      <c r="S415">
        <f>SUM(P415:R415)</f>
        <v>1200</v>
      </c>
      <c r="T415">
        <f>_xlfn.RANK.EQ(S415,S$2:S$564, 1)</f>
        <v>414</v>
      </c>
    </row>
    <row r="416" spans="1:20" x14ac:dyDescent="0.35">
      <c r="A416" t="s">
        <v>452</v>
      </c>
      <c r="B416">
        <v>202.37</v>
      </c>
      <c r="C416">
        <v>45.7</v>
      </c>
      <c r="D416">
        <v>60.86</v>
      </c>
      <c r="E416">
        <v>114.26</v>
      </c>
      <c r="F416">
        <v>10.46</v>
      </c>
      <c r="G416">
        <v>1</v>
      </c>
      <c r="H416">
        <v>3</v>
      </c>
      <c r="I416">
        <v>5</v>
      </c>
      <c r="J416">
        <v>0</v>
      </c>
      <c r="K416">
        <v>1</v>
      </c>
      <c r="L416">
        <v>2</v>
      </c>
      <c r="M416" s="1">
        <f>C416/$B416-1</f>
        <v>-0.7741760142313584</v>
      </c>
      <c r="N416" s="1">
        <f>D416/$B416-1</f>
        <v>-0.69926372486040422</v>
      </c>
      <c r="O416" s="1">
        <f>E416/$B416-1</f>
        <v>-0.435390621139497</v>
      </c>
      <c r="P416">
        <f>_xlfn.RANK.EQ(M416,M$2:M$564)</f>
        <v>377</v>
      </c>
      <c r="Q416">
        <f>_xlfn.RANK.EQ(N416,N$2:N$564)</f>
        <v>382</v>
      </c>
      <c r="R416">
        <f>_xlfn.RANK.EQ(O416,O$2:O$564)</f>
        <v>444</v>
      </c>
      <c r="S416">
        <f>SUM(P416:R416)</f>
        <v>1203</v>
      </c>
      <c r="T416">
        <f>_xlfn.RANK.EQ(S416,S$2:S$564, 1)</f>
        <v>415</v>
      </c>
    </row>
    <row r="417" spans="1:20" x14ac:dyDescent="0.35">
      <c r="A417" t="s">
        <v>364</v>
      </c>
      <c r="B417">
        <v>36.369999999999997</v>
      </c>
      <c r="C417">
        <v>3.67</v>
      </c>
      <c r="D417">
        <v>6.58</v>
      </c>
      <c r="E417">
        <v>42.19</v>
      </c>
      <c r="F417">
        <v>13.35</v>
      </c>
      <c r="G417">
        <v>2</v>
      </c>
      <c r="H417">
        <v>8</v>
      </c>
      <c r="I417">
        <v>14</v>
      </c>
      <c r="J417">
        <v>0</v>
      </c>
      <c r="K417">
        <v>0</v>
      </c>
      <c r="L417">
        <v>2</v>
      </c>
      <c r="M417" s="1">
        <f>C417/$B417-1</f>
        <v>-0.89909265878471267</v>
      </c>
      <c r="N417" s="1">
        <f>D417/$B417-1</f>
        <v>-0.81908166070937583</v>
      </c>
      <c r="O417" s="1">
        <f>E417/$B417-1</f>
        <v>0.1600219961506737</v>
      </c>
      <c r="P417">
        <f>_xlfn.RANK.EQ(M417,M$2:M$564)</f>
        <v>467</v>
      </c>
      <c r="Q417">
        <f>_xlfn.RANK.EQ(N417,N$2:N$564)</f>
        <v>452</v>
      </c>
      <c r="R417">
        <f>_xlfn.RANK.EQ(O417,O$2:O$564)</f>
        <v>285</v>
      </c>
      <c r="S417">
        <f>SUM(P417:R417)</f>
        <v>1204</v>
      </c>
      <c r="T417">
        <f>_xlfn.RANK.EQ(S417,S$2:S$564, 1)</f>
        <v>416</v>
      </c>
    </row>
    <row r="418" spans="1:20" x14ac:dyDescent="0.35">
      <c r="A418" t="s">
        <v>111</v>
      </c>
      <c r="B418">
        <v>100.77</v>
      </c>
      <c r="C418">
        <v>16.29</v>
      </c>
      <c r="D418">
        <v>25.28</v>
      </c>
      <c r="E418">
        <v>90.6</v>
      </c>
      <c r="F418">
        <v>11.23</v>
      </c>
      <c r="G418">
        <v>2</v>
      </c>
      <c r="H418">
        <v>7</v>
      </c>
      <c r="I418">
        <v>12</v>
      </c>
      <c r="J418">
        <v>0</v>
      </c>
      <c r="K418">
        <v>1</v>
      </c>
      <c r="L418">
        <v>2</v>
      </c>
      <c r="M418" s="1">
        <f>C418/$B418-1</f>
        <v>-0.8383447454599583</v>
      </c>
      <c r="N418" s="1">
        <f>D418/$B418-1</f>
        <v>-0.749131686017664</v>
      </c>
      <c r="O418" s="1">
        <f>E418/$B418-1</f>
        <v>-0.1009228937183686</v>
      </c>
      <c r="P418">
        <f>_xlfn.RANK.EQ(M418,M$2:M$564)</f>
        <v>432</v>
      </c>
      <c r="Q418">
        <f>_xlfn.RANK.EQ(N418,N$2:N$564)</f>
        <v>421</v>
      </c>
      <c r="R418">
        <f>_xlfn.RANK.EQ(O418,O$2:O$564)</f>
        <v>353</v>
      </c>
      <c r="S418">
        <f>SUM(P418:R418)</f>
        <v>1206</v>
      </c>
      <c r="T418">
        <f>_xlfn.RANK.EQ(S418,S$2:S$564, 1)</f>
        <v>417</v>
      </c>
    </row>
    <row r="419" spans="1:20" x14ac:dyDescent="0.35">
      <c r="A419" t="s">
        <v>88</v>
      </c>
      <c r="B419">
        <v>928.96</v>
      </c>
      <c r="C419">
        <v>88.35</v>
      </c>
      <c r="D419">
        <v>202.29</v>
      </c>
      <c r="E419">
        <v>1008.92</v>
      </c>
      <c r="F419">
        <v>8.89</v>
      </c>
      <c r="G419">
        <v>2</v>
      </c>
      <c r="H419">
        <v>10</v>
      </c>
      <c r="I419">
        <v>18</v>
      </c>
      <c r="J419">
        <v>0</v>
      </c>
      <c r="K419">
        <v>2</v>
      </c>
      <c r="L419">
        <v>3</v>
      </c>
      <c r="M419" s="1">
        <f>C419/$B419-1</f>
        <v>-0.90489364450568377</v>
      </c>
      <c r="N419" s="1">
        <f>D419/$B419-1</f>
        <v>-0.78224035480537379</v>
      </c>
      <c r="O419" s="1">
        <f>E419/$B419-1</f>
        <v>8.6074750258353427E-2</v>
      </c>
      <c r="P419">
        <f>_xlfn.RANK.EQ(M419,M$2:M$564)</f>
        <v>470</v>
      </c>
      <c r="Q419">
        <f>_xlfn.RANK.EQ(N419,N$2:N$564)</f>
        <v>439</v>
      </c>
      <c r="R419">
        <f>_xlfn.RANK.EQ(O419,O$2:O$564)</f>
        <v>298</v>
      </c>
      <c r="S419">
        <f>SUM(P419:R419)</f>
        <v>1207</v>
      </c>
      <c r="T419">
        <f>_xlfn.RANK.EQ(S419,S$2:S$564, 1)</f>
        <v>418</v>
      </c>
    </row>
    <row r="420" spans="1:20" x14ac:dyDescent="0.35">
      <c r="A420" t="s">
        <v>206</v>
      </c>
      <c r="B420">
        <v>582</v>
      </c>
      <c r="C420">
        <v>44.58</v>
      </c>
      <c r="D420">
        <v>125.04</v>
      </c>
      <c r="E420">
        <v>666.08</v>
      </c>
      <c r="F420">
        <v>8.41</v>
      </c>
      <c r="G420">
        <v>2</v>
      </c>
      <c r="H420">
        <v>10</v>
      </c>
      <c r="I420">
        <v>18</v>
      </c>
      <c r="J420">
        <v>0</v>
      </c>
      <c r="K420">
        <v>1</v>
      </c>
      <c r="L420">
        <v>2</v>
      </c>
      <c r="M420" s="1">
        <f>C420/$B420-1</f>
        <v>-0.92340206185567009</v>
      </c>
      <c r="N420" s="1">
        <f>D420/$B420-1</f>
        <v>-0.78515463917525774</v>
      </c>
      <c r="O420" s="1">
        <f>E420/$B420-1</f>
        <v>0.14446735395189014</v>
      </c>
      <c r="P420">
        <f>_xlfn.RANK.EQ(M420,M$2:M$564)</f>
        <v>480</v>
      </c>
      <c r="Q420">
        <f>_xlfn.RANK.EQ(N420,N$2:N$564)</f>
        <v>441</v>
      </c>
      <c r="R420">
        <f>_xlfn.RANK.EQ(O420,O$2:O$564)</f>
        <v>287</v>
      </c>
      <c r="S420">
        <f>SUM(P420:R420)</f>
        <v>1208</v>
      </c>
      <c r="T420">
        <f>_xlfn.RANK.EQ(S420,S$2:S$564, 1)</f>
        <v>419</v>
      </c>
    </row>
    <row r="421" spans="1:20" x14ac:dyDescent="0.35">
      <c r="A421" t="s">
        <v>533</v>
      </c>
      <c r="B421">
        <v>136.84</v>
      </c>
      <c r="C421">
        <v>32.86</v>
      </c>
      <c r="D421">
        <v>34.29</v>
      </c>
      <c r="E421">
        <v>83.72</v>
      </c>
      <c r="F421">
        <v>13.26</v>
      </c>
      <c r="G421">
        <v>-2</v>
      </c>
      <c r="H421">
        <v>1</v>
      </c>
      <c r="I421">
        <v>5</v>
      </c>
      <c r="J421">
        <v>0</v>
      </c>
      <c r="K421">
        <v>0</v>
      </c>
      <c r="L421">
        <v>2</v>
      </c>
      <c r="M421" s="1">
        <f>C421/$B421-1</f>
        <v>-0.75986553639286758</v>
      </c>
      <c r="N421" s="1">
        <f>D421/$B421-1</f>
        <v>-0.74941537562116345</v>
      </c>
      <c r="O421" s="1">
        <f>E421/$B421-1</f>
        <v>-0.3881905875475008</v>
      </c>
      <c r="P421">
        <f>_xlfn.RANK.EQ(M421,M$2:M$564)</f>
        <v>365</v>
      </c>
      <c r="Q421">
        <f>_xlfn.RANK.EQ(N421,N$2:N$564)</f>
        <v>422</v>
      </c>
      <c r="R421">
        <f>_xlfn.RANK.EQ(O421,O$2:O$564)</f>
        <v>428</v>
      </c>
      <c r="S421">
        <f>SUM(P421:R421)</f>
        <v>1215</v>
      </c>
      <c r="T421">
        <f>_xlfn.RANK.EQ(S421,S$2:S$564, 1)</f>
        <v>420</v>
      </c>
    </row>
    <row r="422" spans="1:20" x14ac:dyDescent="0.35">
      <c r="A422" t="s">
        <v>530</v>
      </c>
      <c r="B422">
        <v>123.24</v>
      </c>
      <c r="C422">
        <v>32.47</v>
      </c>
      <c r="D422">
        <v>32.35</v>
      </c>
      <c r="E422">
        <v>59.79</v>
      </c>
      <c r="F422">
        <v>11.74</v>
      </c>
      <c r="G422">
        <v>-3</v>
      </c>
      <c r="H422">
        <v>1</v>
      </c>
      <c r="I422">
        <v>5</v>
      </c>
      <c r="J422">
        <v>0</v>
      </c>
      <c r="K422">
        <v>0</v>
      </c>
      <c r="L422">
        <v>2</v>
      </c>
      <c r="M422" s="1">
        <f>C422/$B422-1</f>
        <v>-0.73653034728984101</v>
      </c>
      <c r="N422" s="1">
        <f>D422/$B422-1</f>
        <v>-0.73750405712431033</v>
      </c>
      <c r="O422" s="1">
        <f>E422/$B422-1</f>
        <v>-0.51484907497565724</v>
      </c>
      <c r="P422">
        <f>_xlfn.RANK.EQ(M422,M$2:M$564)</f>
        <v>346</v>
      </c>
      <c r="Q422">
        <f>_xlfn.RANK.EQ(N422,N$2:N$564)</f>
        <v>410</v>
      </c>
      <c r="R422">
        <f>_xlfn.RANK.EQ(O422,O$2:O$564)</f>
        <v>462</v>
      </c>
      <c r="S422">
        <f>SUM(P422:R422)</f>
        <v>1218</v>
      </c>
      <c r="T422">
        <f>_xlfn.RANK.EQ(S422,S$2:S$564, 1)</f>
        <v>421</v>
      </c>
    </row>
    <row r="423" spans="1:20" x14ac:dyDescent="0.35">
      <c r="A423" t="s">
        <v>289</v>
      </c>
      <c r="B423">
        <v>190.05</v>
      </c>
      <c r="C423">
        <v>45.65</v>
      </c>
      <c r="D423">
        <v>50.65</v>
      </c>
      <c r="E423">
        <v>100.75</v>
      </c>
      <c r="F423">
        <v>11.96</v>
      </c>
      <c r="G423">
        <v>0</v>
      </c>
      <c r="H423">
        <v>1</v>
      </c>
      <c r="I423">
        <v>5</v>
      </c>
      <c r="J423">
        <v>0</v>
      </c>
      <c r="K423">
        <v>0</v>
      </c>
      <c r="L423">
        <v>2</v>
      </c>
      <c r="M423" s="1">
        <f>C423/$B423-1</f>
        <v>-0.7598000526177322</v>
      </c>
      <c r="N423" s="1">
        <f>D423/$B423-1</f>
        <v>-0.73349118652986056</v>
      </c>
      <c r="O423" s="1">
        <f>E423/$B423-1</f>
        <v>-0.46987634832938707</v>
      </c>
      <c r="P423">
        <f>_xlfn.RANK.EQ(M423,M$2:M$564)</f>
        <v>364</v>
      </c>
      <c r="Q423">
        <f>_xlfn.RANK.EQ(N423,N$2:N$564)</f>
        <v>402</v>
      </c>
      <c r="R423">
        <f>_xlfn.RANK.EQ(O423,O$2:O$564)</f>
        <v>452</v>
      </c>
      <c r="S423">
        <f>SUM(P423:R423)</f>
        <v>1218</v>
      </c>
      <c r="T423">
        <f>_xlfn.RANK.EQ(S423,S$2:S$564, 1)</f>
        <v>421</v>
      </c>
    </row>
    <row r="424" spans="1:20" x14ac:dyDescent="0.35">
      <c r="A424" t="s">
        <v>331</v>
      </c>
      <c r="B424">
        <v>90.29</v>
      </c>
      <c r="C424">
        <v>21.98</v>
      </c>
      <c r="D424">
        <v>23.08</v>
      </c>
      <c r="E424">
        <v>51.28</v>
      </c>
      <c r="F424">
        <v>13.04</v>
      </c>
      <c r="G424">
        <v>-1</v>
      </c>
      <c r="H424">
        <v>1</v>
      </c>
      <c r="I424">
        <v>5</v>
      </c>
      <c r="J424">
        <v>0</v>
      </c>
      <c r="K424">
        <v>0</v>
      </c>
      <c r="L424">
        <v>2</v>
      </c>
      <c r="M424" s="1">
        <f>C424/$B424-1</f>
        <v>-0.75656218850371026</v>
      </c>
      <c r="N424" s="1">
        <f>D424/$B424-1</f>
        <v>-0.74437922250526078</v>
      </c>
      <c r="O424" s="1">
        <f>E424/$B424-1</f>
        <v>-0.43205227599955698</v>
      </c>
      <c r="P424">
        <f>_xlfn.RANK.EQ(M424,M$2:M$564)</f>
        <v>363</v>
      </c>
      <c r="Q424">
        <f>_xlfn.RANK.EQ(N424,N$2:N$564)</f>
        <v>414</v>
      </c>
      <c r="R424">
        <f>_xlfn.RANK.EQ(O424,O$2:O$564)</f>
        <v>441</v>
      </c>
      <c r="S424">
        <f>SUM(P424:R424)</f>
        <v>1218</v>
      </c>
      <c r="T424">
        <f>_xlfn.RANK.EQ(S424,S$2:S$564, 1)</f>
        <v>421</v>
      </c>
    </row>
    <row r="425" spans="1:20" x14ac:dyDescent="0.35">
      <c r="A425" t="s">
        <v>211</v>
      </c>
      <c r="B425">
        <v>35.03</v>
      </c>
      <c r="C425">
        <v>5.71</v>
      </c>
      <c r="D425">
        <v>8.24</v>
      </c>
      <c r="E425">
        <v>30.57</v>
      </c>
      <c r="F425">
        <v>11.24</v>
      </c>
      <c r="G425">
        <v>2</v>
      </c>
      <c r="H425">
        <v>9</v>
      </c>
      <c r="I425">
        <v>15</v>
      </c>
      <c r="J425">
        <v>0</v>
      </c>
      <c r="K425">
        <v>1</v>
      </c>
      <c r="L425">
        <v>2</v>
      </c>
      <c r="M425" s="1">
        <f>C425/$B425-1</f>
        <v>-0.83699685983442762</v>
      </c>
      <c r="N425" s="1">
        <f>D425/$B425-1</f>
        <v>-0.76477305166999709</v>
      </c>
      <c r="O425" s="1">
        <f>E425/$B425-1</f>
        <v>-0.12731944047958899</v>
      </c>
      <c r="P425">
        <f>_xlfn.RANK.EQ(M425,M$2:M$564)</f>
        <v>431</v>
      </c>
      <c r="Q425">
        <f>_xlfn.RANK.EQ(N425,N$2:N$564)</f>
        <v>429</v>
      </c>
      <c r="R425">
        <f>_xlfn.RANK.EQ(O425,O$2:O$564)</f>
        <v>362</v>
      </c>
      <c r="S425">
        <f>SUM(P425:R425)</f>
        <v>1222</v>
      </c>
      <c r="T425">
        <f>_xlfn.RANK.EQ(S425,S$2:S$564, 1)</f>
        <v>424</v>
      </c>
    </row>
    <row r="426" spans="1:20" x14ac:dyDescent="0.35">
      <c r="A426" t="s">
        <v>443</v>
      </c>
      <c r="B426">
        <v>323.48</v>
      </c>
      <c r="C426">
        <v>82.51</v>
      </c>
      <c r="D426">
        <v>81.53</v>
      </c>
      <c r="E426">
        <v>166.51</v>
      </c>
      <c r="F426">
        <v>12.53</v>
      </c>
      <c r="G426">
        <v>-3</v>
      </c>
      <c r="H426">
        <v>1</v>
      </c>
      <c r="I426">
        <v>5</v>
      </c>
      <c r="J426">
        <v>0</v>
      </c>
      <c r="K426">
        <v>0</v>
      </c>
      <c r="L426">
        <v>2</v>
      </c>
      <c r="M426" s="1">
        <f>C426/$B426-1</f>
        <v>-0.74493013478422165</v>
      </c>
      <c r="N426" s="1">
        <f>D426/$B426-1</f>
        <v>-0.74795968838877214</v>
      </c>
      <c r="O426" s="1">
        <f>E426/$B426-1</f>
        <v>-0.48525411153703479</v>
      </c>
      <c r="P426">
        <f>_xlfn.RANK.EQ(M426,M$2:M$564)</f>
        <v>351</v>
      </c>
      <c r="Q426">
        <f>_xlfn.RANK.EQ(N426,N$2:N$564)</f>
        <v>420</v>
      </c>
      <c r="R426">
        <f>_xlfn.RANK.EQ(O426,O$2:O$564)</f>
        <v>456</v>
      </c>
      <c r="S426">
        <f>SUM(P426:R426)</f>
        <v>1227</v>
      </c>
      <c r="T426">
        <f>_xlfn.RANK.EQ(S426,S$2:S$564, 1)</f>
        <v>425</v>
      </c>
    </row>
    <row r="427" spans="1:20" x14ac:dyDescent="0.35">
      <c r="A427" t="s">
        <v>464</v>
      </c>
      <c r="B427">
        <v>292.82</v>
      </c>
      <c r="C427">
        <v>74.42</v>
      </c>
      <c r="D427">
        <v>74</v>
      </c>
      <c r="E427">
        <v>143.08000000000001</v>
      </c>
      <c r="F427">
        <v>11.91</v>
      </c>
      <c r="G427">
        <v>-3</v>
      </c>
      <c r="H427">
        <v>1</v>
      </c>
      <c r="I427">
        <v>5</v>
      </c>
      <c r="J427">
        <v>0</v>
      </c>
      <c r="K427">
        <v>0</v>
      </c>
      <c r="L427">
        <v>2</v>
      </c>
      <c r="M427" s="1">
        <f>C427/$B427-1</f>
        <v>-0.74585069325865716</v>
      </c>
      <c r="N427" s="1">
        <f>D427/$B427-1</f>
        <v>-0.74728502151492382</v>
      </c>
      <c r="O427" s="1">
        <f>E427/$B427-1</f>
        <v>-0.51137217403182844</v>
      </c>
      <c r="P427">
        <f>_xlfn.RANK.EQ(M427,M$2:M$564)</f>
        <v>352</v>
      </c>
      <c r="Q427">
        <f>_xlfn.RANK.EQ(N427,N$2:N$564)</f>
        <v>418</v>
      </c>
      <c r="R427">
        <f>_xlfn.RANK.EQ(O427,O$2:O$564)</f>
        <v>461</v>
      </c>
      <c r="S427">
        <f>SUM(P427:R427)</f>
        <v>1231</v>
      </c>
      <c r="T427">
        <f>_xlfn.RANK.EQ(S427,S$2:S$564, 1)</f>
        <v>426</v>
      </c>
    </row>
    <row r="428" spans="1:20" x14ac:dyDescent="0.35">
      <c r="A428" t="s">
        <v>76</v>
      </c>
      <c r="B428">
        <v>281.69</v>
      </c>
      <c r="C428">
        <v>55.39</v>
      </c>
      <c r="D428">
        <v>74.569999999999993</v>
      </c>
      <c r="E428">
        <v>170.6</v>
      </c>
      <c r="F428">
        <v>11.14</v>
      </c>
      <c r="G428">
        <v>1</v>
      </c>
      <c r="H428">
        <v>4</v>
      </c>
      <c r="I428">
        <v>8</v>
      </c>
      <c r="J428">
        <v>0</v>
      </c>
      <c r="K428">
        <v>1</v>
      </c>
      <c r="L428">
        <v>2</v>
      </c>
      <c r="M428" s="1">
        <f>C428/$B428-1</f>
        <v>-0.80336540168270087</v>
      </c>
      <c r="N428" s="1">
        <f>D428/$B428-1</f>
        <v>-0.73527636763818383</v>
      </c>
      <c r="O428" s="1">
        <f>E428/$B428-1</f>
        <v>-0.3943696971848486</v>
      </c>
      <c r="P428">
        <f>_xlfn.RANK.EQ(M428,M$2:M$564)</f>
        <v>399</v>
      </c>
      <c r="Q428">
        <f>_xlfn.RANK.EQ(N428,N$2:N$564)</f>
        <v>404</v>
      </c>
      <c r="R428">
        <f>_xlfn.RANK.EQ(O428,O$2:O$564)</f>
        <v>431</v>
      </c>
      <c r="S428">
        <f>SUM(P428:R428)</f>
        <v>1234</v>
      </c>
      <c r="T428">
        <f>_xlfn.RANK.EQ(S428,S$2:S$564, 1)</f>
        <v>427</v>
      </c>
    </row>
    <row r="429" spans="1:20" x14ac:dyDescent="0.35">
      <c r="A429" t="s">
        <v>257</v>
      </c>
      <c r="B429">
        <v>133.72999999999999</v>
      </c>
      <c r="C429">
        <v>29.79</v>
      </c>
      <c r="D429">
        <v>35.53</v>
      </c>
      <c r="E429">
        <v>70.39</v>
      </c>
      <c r="F429">
        <v>11.74</v>
      </c>
      <c r="G429">
        <v>0</v>
      </c>
      <c r="H429">
        <v>2</v>
      </c>
      <c r="I429">
        <v>5</v>
      </c>
      <c r="J429">
        <v>0</v>
      </c>
      <c r="K429">
        <v>0</v>
      </c>
      <c r="L429">
        <v>2</v>
      </c>
      <c r="M429" s="1">
        <f>C429/$B429-1</f>
        <v>-0.77723771778957595</v>
      </c>
      <c r="N429" s="1">
        <f>D429/$B429-1</f>
        <v>-0.7343154116503402</v>
      </c>
      <c r="O429" s="1">
        <f>E429/$B429-1</f>
        <v>-0.47364091826815224</v>
      </c>
      <c r="P429">
        <f>_xlfn.RANK.EQ(M429,M$2:M$564)</f>
        <v>379</v>
      </c>
      <c r="Q429">
        <f>_xlfn.RANK.EQ(N429,N$2:N$564)</f>
        <v>403</v>
      </c>
      <c r="R429">
        <f>_xlfn.RANK.EQ(O429,O$2:O$564)</f>
        <v>453</v>
      </c>
      <c r="S429">
        <f>SUM(P429:R429)</f>
        <v>1235</v>
      </c>
      <c r="T429">
        <f>_xlfn.RANK.EQ(S429,S$2:S$564, 1)</f>
        <v>428</v>
      </c>
    </row>
    <row r="430" spans="1:20" x14ac:dyDescent="0.35">
      <c r="A430" t="s">
        <v>555</v>
      </c>
      <c r="B430">
        <v>303.94</v>
      </c>
      <c r="C430">
        <v>74.31</v>
      </c>
      <c r="D430">
        <v>78.08</v>
      </c>
      <c r="E430">
        <v>144.01</v>
      </c>
      <c r="F430">
        <v>13.71</v>
      </c>
      <c r="G430">
        <v>-1</v>
      </c>
      <c r="H430">
        <v>1</v>
      </c>
      <c r="I430">
        <v>5</v>
      </c>
      <c r="J430">
        <v>0</v>
      </c>
      <c r="K430">
        <v>0</v>
      </c>
      <c r="L430">
        <v>2</v>
      </c>
      <c r="M430" s="1">
        <f>C430/$B430-1</f>
        <v>-0.75551095610975849</v>
      </c>
      <c r="N430" s="1">
        <f>D430/$B430-1</f>
        <v>-0.74310719220898869</v>
      </c>
      <c r="O430" s="1">
        <f>E430/$B430-1</f>
        <v>-0.52618937948279276</v>
      </c>
      <c r="P430">
        <f>_xlfn.RANK.EQ(M430,M$2:M$564)</f>
        <v>362</v>
      </c>
      <c r="Q430">
        <f>_xlfn.RANK.EQ(N430,N$2:N$564)</f>
        <v>413</v>
      </c>
      <c r="R430">
        <f>_xlfn.RANK.EQ(O430,O$2:O$564)</f>
        <v>465</v>
      </c>
      <c r="S430">
        <f>SUM(P430:R430)</f>
        <v>1240</v>
      </c>
      <c r="T430">
        <f>_xlfn.RANK.EQ(S430,S$2:S$564, 1)</f>
        <v>429</v>
      </c>
    </row>
    <row r="431" spans="1:20" x14ac:dyDescent="0.35">
      <c r="A431" t="s">
        <v>175</v>
      </c>
      <c r="B431">
        <v>223.39</v>
      </c>
      <c r="C431">
        <v>42.15</v>
      </c>
      <c r="D431">
        <v>55.74</v>
      </c>
      <c r="E431">
        <v>144.19999999999999</v>
      </c>
      <c r="F431">
        <v>11.07</v>
      </c>
      <c r="G431">
        <v>2</v>
      </c>
      <c r="H431">
        <v>7</v>
      </c>
      <c r="I431">
        <v>13</v>
      </c>
      <c r="J431">
        <v>0</v>
      </c>
      <c r="K431">
        <v>1</v>
      </c>
      <c r="L431">
        <v>2</v>
      </c>
      <c r="M431" s="1">
        <f>C431/$B431-1</f>
        <v>-0.81131653162630379</v>
      </c>
      <c r="N431" s="1">
        <f>D431/$B431-1</f>
        <v>-0.75048122118268501</v>
      </c>
      <c r="O431" s="1">
        <f>E431/$B431-1</f>
        <v>-0.35449214378441296</v>
      </c>
      <c r="P431">
        <f>_xlfn.RANK.EQ(M431,M$2:M$564)</f>
        <v>405</v>
      </c>
      <c r="Q431">
        <f>_xlfn.RANK.EQ(N431,N$2:N$564)</f>
        <v>423</v>
      </c>
      <c r="R431">
        <f>_xlfn.RANK.EQ(O431,O$2:O$564)</f>
        <v>419</v>
      </c>
      <c r="S431">
        <f>SUM(P431:R431)</f>
        <v>1247</v>
      </c>
      <c r="T431">
        <f>_xlfn.RANK.EQ(S431,S$2:S$564, 1)</f>
        <v>430</v>
      </c>
    </row>
    <row r="432" spans="1:20" x14ac:dyDescent="0.35">
      <c r="A432" t="s">
        <v>132</v>
      </c>
      <c r="B432">
        <v>281.08999999999997</v>
      </c>
      <c r="C432">
        <v>23.42</v>
      </c>
      <c r="D432">
        <v>39.58</v>
      </c>
      <c r="E432">
        <v>293.3</v>
      </c>
      <c r="F432">
        <v>13.69</v>
      </c>
      <c r="G432">
        <v>2</v>
      </c>
      <c r="H432">
        <v>9</v>
      </c>
      <c r="I432">
        <v>15</v>
      </c>
      <c r="J432">
        <v>0</v>
      </c>
      <c r="K432">
        <v>0</v>
      </c>
      <c r="L432">
        <v>2</v>
      </c>
      <c r="M432" s="1">
        <f>C432/$B432-1</f>
        <v>-0.91668148991426235</v>
      </c>
      <c r="N432" s="1">
        <f>D432/$B432-1</f>
        <v>-0.85919100643921875</v>
      </c>
      <c r="O432" s="1">
        <f>E432/$B432-1</f>
        <v>4.3438044754349203E-2</v>
      </c>
      <c r="P432">
        <f>_xlfn.RANK.EQ(M432,M$2:M$564)</f>
        <v>478</v>
      </c>
      <c r="Q432">
        <f>_xlfn.RANK.EQ(N432,N$2:N$564)</f>
        <v>473</v>
      </c>
      <c r="R432">
        <f>_xlfn.RANK.EQ(O432,O$2:O$564)</f>
        <v>307</v>
      </c>
      <c r="S432">
        <f>SUM(P432:R432)</f>
        <v>1258</v>
      </c>
      <c r="T432">
        <f>_xlfn.RANK.EQ(S432,S$2:S$564, 1)</f>
        <v>431</v>
      </c>
    </row>
    <row r="433" spans="1:20" x14ac:dyDescent="0.35">
      <c r="A433" t="s">
        <v>454</v>
      </c>
      <c r="B433">
        <v>272.62</v>
      </c>
      <c r="C433">
        <v>60.15</v>
      </c>
      <c r="D433">
        <v>68.739999999999995</v>
      </c>
      <c r="E433">
        <v>137.69999999999999</v>
      </c>
      <c r="F433">
        <v>11.74</v>
      </c>
      <c r="G433">
        <v>0</v>
      </c>
      <c r="H433">
        <v>1</v>
      </c>
      <c r="I433">
        <v>5</v>
      </c>
      <c r="J433">
        <v>0</v>
      </c>
      <c r="K433">
        <v>0</v>
      </c>
      <c r="L433">
        <v>2</v>
      </c>
      <c r="M433" s="1">
        <f>C433/$B433-1</f>
        <v>-0.77936321619837134</v>
      </c>
      <c r="N433" s="1">
        <f>D433/$B433-1</f>
        <v>-0.74785415596801408</v>
      </c>
      <c r="O433" s="1">
        <f>E433/$B433-1</f>
        <v>-0.49490132785562324</v>
      </c>
      <c r="P433">
        <f>_xlfn.RANK.EQ(M433,M$2:M$564)</f>
        <v>382</v>
      </c>
      <c r="Q433">
        <f>_xlfn.RANK.EQ(N433,N$2:N$564)</f>
        <v>419</v>
      </c>
      <c r="R433">
        <f>_xlfn.RANK.EQ(O433,O$2:O$564)</f>
        <v>458</v>
      </c>
      <c r="S433">
        <f>SUM(P433:R433)</f>
        <v>1259</v>
      </c>
      <c r="T433">
        <f>_xlfn.RANK.EQ(S433,S$2:S$564, 1)</f>
        <v>432</v>
      </c>
    </row>
    <row r="434" spans="1:20" x14ac:dyDescent="0.35">
      <c r="A434" t="s">
        <v>217</v>
      </c>
      <c r="B434">
        <v>80.19</v>
      </c>
      <c r="C434">
        <v>14.77</v>
      </c>
      <c r="D434">
        <v>22.15</v>
      </c>
      <c r="E434">
        <v>41.86</v>
      </c>
      <c r="F434">
        <v>9.2899999999999991</v>
      </c>
      <c r="G434">
        <v>1</v>
      </c>
      <c r="H434">
        <v>4</v>
      </c>
      <c r="I434">
        <v>6</v>
      </c>
      <c r="J434">
        <v>0</v>
      </c>
      <c r="K434">
        <v>2</v>
      </c>
      <c r="L434">
        <v>4</v>
      </c>
      <c r="M434" s="1">
        <f>C434/$B434-1</f>
        <v>-0.8158124454420751</v>
      </c>
      <c r="N434" s="1">
        <f>D434/$B434-1</f>
        <v>-0.72378102007731637</v>
      </c>
      <c r="O434" s="1">
        <f>E434/$B434-1</f>
        <v>-0.47798977428607059</v>
      </c>
      <c r="P434">
        <f>_xlfn.RANK.EQ(M434,M$2:M$564)</f>
        <v>411</v>
      </c>
      <c r="Q434">
        <f>_xlfn.RANK.EQ(N434,N$2:N$564)</f>
        <v>394</v>
      </c>
      <c r="R434">
        <f>_xlfn.RANK.EQ(O434,O$2:O$564)</f>
        <v>455</v>
      </c>
      <c r="S434">
        <f>SUM(P434:R434)</f>
        <v>1260</v>
      </c>
      <c r="T434">
        <f>_xlfn.RANK.EQ(S434,S$2:S$564, 1)</f>
        <v>433</v>
      </c>
    </row>
    <row r="435" spans="1:20" x14ac:dyDescent="0.35">
      <c r="A435" t="s">
        <v>188</v>
      </c>
      <c r="B435">
        <v>173.73</v>
      </c>
      <c r="C435">
        <v>36.229999999999997</v>
      </c>
      <c r="D435">
        <v>45.94</v>
      </c>
      <c r="E435">
        <v>81.13</v>
      </c>
      <c r="F435">
        <v>10.82</v>
      </c>
      <c r="G435">
        <v>0</v>
      </c>
      <c r="H435">
        <v>1</v>
      </c>
      <c r="I435">
        <v>5</v>
      </c>
      <c r="J435">
        <v>0</v>
      </c>
      <c r="K435">
        <v>2</v>
      </c>
      <c r="L435">
        <v>3</v>
      </c>
      <c r="M435" s="1">
        <f>C435/$B435-1</f>
        <v>-0.79145800955505674</v>
      </c>
      <c r="N435" s="1">
        <f>D435/$B435-1</f>
        <v>-0.73556668393484137</v>
      </c>
      <c r="O435" s="1">
        <f>E435/$B435-1</f>
        <v>-0.53301099407125996</v>
      </c>
      <c r="P435">
        <f>_xlfn.RANK.EQ(M435,M$2:M$564)</f>
        <v>392</v>
      </c>
      <c r="Q435">
        <f>_xlfn.RANK.EQ(N435,N$2:N$564)</f>
        <v>405</v>
      </c>
      <c r="R435">
        <f>_xlfn.RANK.EQ(O435,O$2:O$564)</f>
        <v>469</v>
      </c>
      <c r="S435">
        <f>SUM(P435:R435)</f>
        <v>1266</v>
      </c>
      <c r="T435">
        <f>_xlfn.RANK.EQ(S435,S$2:S$564, 1)</f>
        <v>434</v>
      </c>
    </row>
    <row r="436" spans="1:20" x14ac:dyDescent="0.35">
      <c r="A436" t="s">
        <v>548</v>
      </c>
      <c r="B436">
        <v>64.55</v>
      </c>
      <c r="C436">
        <v>4.34</v>
      </c>
      <c r="D436">
        <v>9.68</v>
      </c>
      <c r="E436">
        <v>67.09</v>
      </c>
      <c r="F436">
        <v>11.33</v>
      </c>
      <c r="G436">
        <v>2</v>
      </c>
      <c r="H436">
        <v>10</v>
      </c>
      <c r="I436">
        <v>18</v>
      </c>
      <c r="J436">
        <v>0</v>
      </c>
      <c r="K436">
        <v>1</v>
      </c>
      <c r="L436">
        <v>2</v>
      </c>
      <c r="M436" s="1">
        <f>C436/$B436-1</f>
        <v>-0.93276529821843535</v>
      </c>
      <c r="N436" s="1">
        <f>D436/$B436-1</f>
        <v>-0.85003872966692484</v>
      </c>
      <c r="O436" s="1">
        <f>E436/$B436-1</f>
        <v>3.9349341595662279E-2</v>
      </c>
      <c r="P436">
        <f>_xlfn.RANK.EQ(M436,M$2:M$564)</f>
        <v>490</v>
      </c>
      <c r="Q436">
        <f>_xlfn.RANK.EQ(N436,N$2:N$564)</f>
        <v>468</v>
      </c>
      <c r="R436">
        <f>_xlfn.RANK.EQ(O436,O$2:O$564)</f>
        <v>310</v>
      </c>
      <c r="S436">
        <f>SUM(P436:R436)</f>
        <v>1268</v>
      </c>
      <c r="T436">
        <f>_xlfn.RANK.EQ(S436,S$2:S$564, 1)</f>
        <v>435</v>
      </c>
    </row>
    <row r="437" spans="1:20" x14ac:dyDescent="0.35">
      <c r="A437" t="s">
        <v>490</v>
      </c>
      <c r="B437">
        <v>47.45</v>
      </c>
      <c r="C437">
        <v>10.41</v>
      </c>
      <c r="D437">
        <v>12.11</v>
      </c>
      <c r="E437">
        <v>21.28</v>
      </c>
      <c r="F437">
        <v>10.53</v>
      </c>
      <c r="G437">
        <v>0</v>
      </c>
      <c r="H437">
        <v>1</v>
      </c>
      <c r="I437">
        <v>5</v>
      </c>
      <c r="J437">
        <v>0</v>
      </c>
      <c r="K437">
        <v>1</v>
      </c>
      <c r="L437">
        <v>2</v>
      </c>
      <c r="M437" s="1">
        <f>C437/$B437-1</f>
        <v>-0.78061116965226551</v>
      </c>
      <c r="N437" s="1">
        <f>D437/$B437-1</f>
        <v>-0.74478398314014749</v>
      </c>
      <c r="O437" s="1">
        <f>E437/$B437-1</f>
        <v>-0.55152792413066387</v>
      </c>
      <c r="P437">
        <f>_xlfn.RANK.EQ(M437,M$2:M$564)</f>
        <v>383</v>
      </c>
      <c r="Q437">
        <f>_xlfn.RANK.EQ(N437,N$2:N$564)</f>
        <v>415</v>
      </c>
      <c r="R437">
        <f>_xlfn.RANK.EQ(O437,O$2:O$564)</f>
        <v>473</v>
      </c>
      <c r="S437">
        <f>SUM(P437:R437)</f>
        <v>1271</v>
      </c>
      <c r="T437">
        <f>_xlfn.RANK.EQ(S437,S$2:S$564, 1)</f>
        <v>436</v>
      </c>
    </row>
    <row r="438" spans="1:20" x14ac:dyDescent="0.35">
      <c r="A438" t="s">
        <v>309</v>
      </c>
      <c r="B438">
        <v>185.77</v>
      </c>
      <c r="C438">
        <v>28.64</v>
      </c>
      <c r="D438">
        <v>44.18</v>
      </c>
      <c r="E438">
        <v>133.94</v>
      </c>
      <c r="F438">
        <v>11.44</v>
      </c>
      <c r="G438">
        <v>1</v>
      </c>
      <c r="H438">
        <v>5</v>
      </c>
      <c r="I438">
        <v>10</v>
      </c>
      <c r="J438">
        <v>0</v>
      </c>
      <c r="K438">
        <v>0</v>
      </c>
      <c r="L438">
        <v>2</v>
      </c>
      <c r="M438" s="1">
        <f>C438/$B438-1</f>
        <v>-0.84583086612477798</v>
      </c>
      <c r="N438" s="1">
        <f>D438/$B438-1</f>
        <v>-0.76217903859611347</v>
      </c>
      <c r="O438" s="1">
        <f>E438/$B438-1</f>
        <v>-0.2790009151100824</v>
      </c>
      <c r="P438">
        <f>_xlfn.RANK.EQ(M438,M$2:M$564)</f>
        <v>439</v>
      </c>
      <c r="Q438">
        <f>_xlfn.RANK.EQ(N438,N$2:N$564)</f>
        <v>428</v>
      </c>
      <c r="R438">
        <f>_xlfn.RANK.EQ(O438,O$2:O$564)</f>
        <v>404</v>
      </c>
      <c r="S438">
        <f>SUM(P438:R438)</f>
        <v>1271</v>
      </c>
      <c r="T438">
        <f>_xlfn.RANK.EQ(S438,S$2:S$564, 1)</f>
        <v>436</v>
      </c>
    </row>
    <row r="439" spans="1:20" x14ac:dyDescent="0.35">
      <c r="A439" t="s">
        <v>256</v>
      </c>
      <c r="B439">
        <v>83.65</v>
      </c>
      <c r="C439">
        <v>19.350000000000001</v>
      </c>
      <c r="D439">
        <v>19.510000000000002</v>
      </c>
      <c r="E439">
        <v>38.36</v>
      </c>
      <c r="F439">
        <v>13.05</v>
      </c>
      <c r="G439">
        <v>-3</v>
      </c>
      <c r="H439">
        <v>1</v>
      </c>
      <c r="I439">
        <v>5</v>
      </c>
      <c r="J439">
        <v>0</v>
      </c>
      <c r="K439">
        <v>0</v>
      </c>
      <c r="L439">
        <v>2</v>
      </c>
      <c r="M439" s="1">
        <f>C439/$B439-1</f>
        <v>-0.76867901972504482</v>
      </c>
      <c r="N439" s="1">
        <f>D439/$B439-1</f>
        <v>-0.7667662881052002</v>
      </c>
      <c r="O439" s="1">
        <f>E439/$B439-1</f>
        <v>-0.54142259414225946</v>
      </c>
      <c r="P439">
        <f>_xlfn.RANK.EQ(M439,M$2:M$564)</f>
        <v>372</v>
      </c>
      <c r="Q439">
        <f>_xlfn.RANK.EQ(N439,N$2:N$564)</f>
        <v>430</v>
      </c>
      <c r="R439">
        <f>_xlfn.RANK.EQ(O439,O$2:O$564)</f>
        <v>471</v>
      </c>
      <c r="S439">
        <f>SUM(P439:R439)</f>
        <v>1273</v>
      </c>
      <c r="T439">
        <f>_xlfn.RANK.EQ(S439,S$2:S$564, 1)</f>
        <v>438</v>
      </c>
    </row>
    <row r="440" spans="1:20" x14ac:dyDescent="0.35">
      <c r="A440" t="s">
        <v>311</v>
      </c>
      <c r="B440">
        <v>256.25</v>
      </c>
      <c r="C440">
        <v>45.22</v>
      </c>
      <c r="D440">
        <v>61.44</v>
      </c>
      <c r="E440">
        <v>160.34</v>
      </c>
      <c r="F440">
        <v>12.41</v>
      </c>
      <c r="G440">
        <v>1</v>
      </c>
      <c r="H440">
        <v>4</v>
      </c>
      <c r="I440">
        <v>6</v>
      </c>
      <c r="J440">
        <v>0</v>
      </c>
      <c r="K440">
        <v>0</v>
      </c>
      <c r="L440">
        <v>2</v>
      </c>
      <c r="M440" s="1">
        <f>C440/$B440-1</f>
        <v>-0.82353170731707315</v>
      </c>
      <c r="N440" s="1">
        <f>D440/$B440-1</f>
        <v>-0.76023414634146347</v>
      </c>
      <c r="O440" s="1">
        <f>E440/$B440-1</f>
        <v>-0.37428292682926823</v>
      </c>
      <c r="P440">
        <f>_xlfn.RANK.EQ(M440,M$2:M$564)</f>
        <v>423</v>
      </c>
      <c r="Q440">
        <f>_xlfn.RANK.EQ(N440,N$2:N$564)</f>
        <v>427</v>
      </c>
      <c r="R440">
        <f>_xlfn.RANK.EQ(O440,O$2:O$564)</f>
        <v>424</v>
      </c>
      <c r="S440">
        <f>SUM(P440:R440)</f>
        <v>1274</v>
      </c>
      <c r="T440">
        <f>_xlfn.RANK.EQ(S440,S$2:S$564, 1)</f>
        <v>439</v>
      </c>
    </row>
    <row r="441" spans="1:20" x14ac:dyDescent="0.35">
      <c r="A441" t="s">
        <v>479</v>
      </c>
      <c r="B441">
        <v>60.05</v>
      </c>
      <c r="C441">
        <v>10.29</v>
      </c>
      <c r="D441">
        <v>13.76</v>
      </c>
      <c r="E441">
        <v>39.5</v>
      </c>
      <c r="F441">
        <v>13.06</v>
      </c>
      <c r="G441">
        <v>1</v>
      </c>
      <c r="H441">
        <v>2</v>
      </c>
      <c r="I441">
        <v>5</v>
      </c>
      <c r="J441">
        <v>0</v>
      </c>
      <c r="K441">
        <v>0</v>
      </c>
      <c r="L441">
        <v>2</v>
      </c>
      <c r="M441" s="1">
        <f>C441/$B441-1</f>
        <v>-0.82864279766860949</v>
      </c>
      <c r="N441" s="1">
        <f>D441/$B441-1</f>
        <v>-0.77085761865112401</v>
      </c>
      <c r="O441" s="1">
        <f>E441/$B441-1</f>
        <v>-0.34221482098251454</v>
      </c>
      <c r="P441">
        <f>_xlfn.RANK.EQ(M441,M$2:M$564)</f>
        <v>426</v>
      </c>
      <c r="Q441">
        <f>_xlfn.RANK.EQ(N441,N$2:N$564)</f>
        <v>432</v>
      </c>
      <c r="R441">
        <f>_xlfn.RANK.EQ(O441,O$2:O$564)</f>
        <v>416</v>
      </c>
      <c r="S441">
        <f>SUM(P441:R441)</f>
        <v>1274</v>
      </c>
      <c r="T441">
        <f>_xlfn.RANK.EQ(S441,S$2:S$564, 1)</f>
        <v>439</v>
      </c>
    </row>
    <row r="442" spans="1:20" x14ac:dyDescent="0.35">
      <c r="A442" t="s">
        <v>431</v>
      </c>
      <c r="B442">
        <v>22.56</v>
      </c>
      <c r="C442">
        <v>3.14</v>
      </c>
      <c r="D442">
        <v>4.46</v>
      </c>
      <c r="E442">
        <v>18.38</v>
      </c>
      <c r="F442">
        <v>13.99</v>
      </c>
      <c r="G442">
        <v>1</v>
      </c>
      <c r="H442">
        <v>4</v>
      </c>
      <c r="I442">
        <v>8</v>
      </c>
      <c r="J442">
        <v>0</v>
      </c>
      <c r="K442">
        <v>0</v>
      </c>
      <c r="L442">
        <v>2</v>
      </c>
      <c r="M442" s="1">
        <f>C442/$B442-1</f>
        <v>-0.86081560283687941</v>
      </c>
      <c r="N442" s="1">
        <f>D442/$B442-1</f>
        <v>-0.80230496453900702</v>
      </c>
      <c r="O442" s="1">
        <f>E442/$B442-1</f>
        <v>-0.18528368794326244</v>
      </c>
      <c r="P442">
        <f>_xlfn.RANK.EQ(M442,M$2:M$564)</f>
        <v>452</v>
      </c>
      <c r="Q442">
        <f>_xlfn.RANK.EQ(N442,N$2:N$564)</f>
        <v>446</v>
      </c>
      <c r="R442">
        <f>_xlfn.RANK.EQ(O442,O$2:O$564)</f>
        <v>376</v>
      </c>
      <c r="S442">
        <f>SUM(P442:R442)</f>
        <v>1274</v>
      </c>
      <c r="T442">
        <f>_xlfn.RANK.EQ(S442,S$2:S$564, 1)</f>
        <v>439</v>
      </c>
    </row>
    <row r="443" spans="1:20" x14ac:dyDescent="0.35">
      <c r="A443" t="s">
        <v>422</v>
      </c>
      <c r="B443">
        <v>125.32</v>
      </c>
      <c r="C443">
        <v>9.16</v>
      </c>
      <c r="D443">
        <v>22.33</v>
      </c>
      <c r="E443">
        <v>118.14</v>
      </c>
      <c r="F443">
        <v>6.48</v>
      </c>
      <c r="G443">
        <v>2</v>
      </c>
      <c r="H443">
        <v>7</v>
      </c>
      <c r="I443">
        <v>12</v>
      </c>
      <c r="J443">
        <v>1</v>
      </c>
      <c r="K443">
        <v>5</v>
      </c>
      <c r="L443">
        <v>9</v>
      </c>
      <c r="M443" s="1">
        <f>C443/$B443-1</f>
        <v>-0.92690711777848711</v>
      </c>
      <c r="N443" s="1">
        <f>D443/$B443-1</f>
        <v>-0.8218161506543249</v>
      </c>
      <c r="O443" s="1">
        <f>E443/$B443-1</f>
        <v>-5.729332907756135E-2</v>
      </c>
      <c r="P443">
        <f>_xlfn.RANK.EQ(M443,M$2:M$564)</f>
        <v>485</v>
      </c>
      <c r="Q443">
        <f>_xlfn.RANK.EQ(N443,N$2:N$564)</f>
        <v>455</v>
      </c>
      <c r="R443">
        <f>_xlfn.RANK.EQ(O443,O$2:O$564)</f>
        <v>336</v>
      </c>
      <c r="S443">
        <f>SUM(P443:R443)</f>
        <v>1276</v>
      </c>
      <c r="T443">
        <f>_xlfn.RANK.EQ(S443,S$2:S$564, 1)</f>
        <v>442</v>
      </c>
    </row>
    <row r="444" spans="1:20" x14ac:dyDescent="0.35">
      <c r="A444" t="s">
        <v>475</v>
      </c>
      <c r="B444">
        <v>292.32</v>
      </c>
      <c r="C444">
        <v>56.62</v>
      </c>
      <c r="D444">
        <v>71.81</v>
      </c>
      <c r="E444">
        <v>156.29</v>
      </c>
      <c r="F444">
        <v>11.28</v>
      </c>
      <c r="G444">
        <v>0</v>
      </c>
      <c r="H444">
        <v>2</v>
      </c>
      <c r="I444">
        <v>5</v>
      </c>
      <c r="J444">
        <v>0</v>
      </c>
      <c r="K444">
        <v>0</v>
      </c>
      <c r="L444">
        <v>2</v>
      </c>
      <c r="M444" s="1">
        <f>C444/$B444-1</f>
        <v>-0.80630815544608647</v>
      </c>
      <c r="N444" s="1">
        <f>D444/$B444-1</f>
        <v>-0.7543445539135194</v>
      </c>
      <c r="O444" s="1">
        <f>E444/$B444-1</f>
        <v>-0.46534619594964421</v>
      </c>
      <c r="P444">
        <f>_xlfn.RANK.EQ(M444,M$2:M$564)</f>
        <v>401</v>
      </c>
      <c r="Q444">
        <f>_xlfn.RANK.EQ(N444,N$2:N$564)</f>
        <v>426</v>
      </c>
      <c r="R444">
        <f>_xlfn.RANK.EQ(O444,O$2:O$564)</f>
        <v>451</v>
      </c>
      <c r="S444">
        <f>SUM(P444:R444)</f>
        <v>1278</v>
      </c>
      <c r="T444">
        <f>_xlfn.RANK.EQ(S444,S$2:S$564, 1)</f>
        <v>443</v>
      </c>
    </row>
    <row r="445" spans="1:20" x14ac:dyDescent="0.35">
      <c r="A445" t="s">
        <v>384</v>
      </c>
      <c r="B445">
        <v>5.96</v>
      </c>
      <c r="C445">
        <v>-3.53</v>
      </c>
      <c r="D445">
        <v>-1.62</v>
      </c>
      <c r="E445">
        <v>10.58</v>
      </c>
      <c r="F445">
        <v>12.05</v>
      </c>
      <c r="G445">
        <v>1</v>
      </c>
      <c r="H445">
        <v>6</v>
      </c>
      <c r="I445">
        <v>10</v>
      </c>
      <c r="J445">
        <v>0</v>
      </c>
      <c r="K445">
        <v>0</v>
      </c>
      <c r="L445">
        <v>2</v>
      </c>
      <c r="M445" s="1">
        <f>C445/$B445-1</f>
        <v>-1.5922818791946307</v>
      </c>
      <c r="N445" s="1">
        <f>D445/$B445-1</f>
        <v>-1.2718120805369129</v>
      </c>
      <c r="O445" s="1">
        <f>E445/$B445-1</f>
        <v>0.77516778523489926</v>
      </c>
      <c r="P445">
        <f>_xlfn.RANK.EQ(M445,M$2:M$564)</f>
        <v>556</v>
      </c>
      <c r="Q445">
        <f>_xlfn.RANK.EQ(N445,N$2:N$564)</f>
        <v>547</v>
      </c>
      <c r="R445">
        <f>_xlfn.RANK.EQ(O445,O$2:O$564)</f>
        <v>195</v>
      </c>
      <c r="S445">
        <f>SUM(P445:R445)</f>
        <v>1298</v>
      </c>
      <c r="T445">
        <f>_xlfn.RANK.EQ(S445,S$2:S$564, 1)</f>
        <v>444</v>
      </c>
    </row>
    <row r="446" spans="1:20" x14ac:dyDescent="0.35">
      <c r="A446" t="s">
        <v>461</v>
      </c>
      <c r="B446">
        <v>58.81</v>
      </c>
      <c r="C446">
        <v>9.0500000000000007</v>
      </c>
      <c r="D446">
        <v>13.04</v>
      </c>
      <c r="E446">
        <v>36.92</v>
      </c>
      <c r="F446">
        <v>12.4</v>
      </c>
      <c r="G446">
        <v>1</v>
      </c>
      <c r="H446">
        <v>4</v>
      </c>
      <c r="I446">
        <v>6</v>
      </c>
      <c r="J446">
        <v>0</v>
      </c>
      <c r="K446">
        <v>0</v>
      </c>
      <c r="L446">
        <v>2</v>
      </c>
      <c r="M446" s="1">
        <f>C446/$B446-1</f>
        <v>-0.84611460635946267</v>
      </c>
      <c r="N446" s="1">
        <f>D446/$B446-1</f>
        <v>-0.77826900187043024</v>
      </c>
      <c r="O446" s="1">
        <f>E446/$B446-1</f>
        <v>-0.37221560959020572</v>
      </c>
      <c r="P446">
        <f>_xlfn.RANK.EQ(M446,M$2:M$564)</f>
        <v>440</v>
      </c>
      <c r="Q446">
        <f>_xlfn.RANK.EQ(N446,N$2:N$564)</f>
        <v>436</v>
      </c>
      <c r="R446">
        <f>_xlfn.RANK.EQ(O446,O$2:O$564)</f>
        <v>423</v>
      </c>
      <c r="S446">
        <f>SUM(P446:R446)</f>
        <v>1299</v>
      </c>
      <c r="T446">
        <f>_xlfn.RANK.EQ(S446,S$2:S$564, 1)</f>
        <v>445</v>
      </c>
    </row>
    <row r="447" spans="1:20" x14ac:dyDescent="0.35">
      <c r="A447" t="s">
        <v>498</v>
      </c>
      <c r="B447">
        <v>641.14</v>
      </c>
      <c r="C447">
        <v>118.81</v>
      </c>
      <c r="D447">
        <v>163</v>
      </c>
      <c r="E447">
        <v>281.45</v>
      </c>
      <c r="F447">
        <v>9.69</v>
      </c>
      <c r="G447">
        <v>1</v>
      </c>
      <c r="H447">
        <v>3</v>
      </c>
      <c r="I447">
        <v>5</v>
      </c>
      <c r="J447">
        <v>0</v>
      </c>
      <c r="K447">
        <v>1</v>
      </c>
      <c r="L447">
        <v>2</v>
      </c>
      <c r="M447" s="1">
        <f>C447/$B447-1</f>
        <v>-0.81468945940044302</v>
      </c>
      <c r="N447" s="1">
        <f>D447/$B447-1</f>
        <v>-0.74576535546058587</v>
      </c>
      <c r="O447" s="1">
        <f>E447/$B447-1</f>
        <v>-0.56101631468945934</v>
      </c>
      <c r="P447">
        <f>_xlfn.RANK.EQ(M447,M$2:M$564)</f>
        <v>409</v>
      </c>
      <c r="Q447">
        <f>_xlfn.RANK.EQ(N447,N$2:N$564)</f>
        <v>416</v>
      </c>
      <c r="R447">
        <f>_xlfn.RANK.EQ(O447,O$2:O$564)</f>
        <v>475</v>
      </c>
      <c r="S447">
        <f>SUM(P447:R447)</f>
        <v>1300</v>
      </c>
      <c r="T447">
        <f>_xlfn.RANK.EQ(S447,S$2:S$564, 1)</f>
        <v>446</v>
      </c>
    </row>
    <row r="448" spans="1:20" x14ac:dyDescent="0.35">
      <c r="A448" t="s">
        <v>333</v>
      </c>
      <c r="B448">
        <v>195.08</v>
      </c>
      <c r="C448">
        <v>37.56</v>
      </c>
      <c r="D448">
        <v>43.08</v>
      </c>
      <c r="E448">
        <v>93.28</v>
      </c>
      <c r="F448">
        <v>11.81</v>
      </c>
      <c r="G448">
        <v>0</v>
      </c>
      <c r="H448">
        <v>1</v>
      </c>
      <c r="I448">
        <v>5</v>
      </c>
      <c r="J448">
        <v>0</v>
      </c>
      <c r="K448">
        <v>0</v>
      </c>
      <c r="L448">
        <v>2</v>
      </c>
      <c r="M448" s="1">
        <f>C448/$B448-1</f>
        <v>-0.80746360467500511</v>
      </c>
      <c r="N448" s="1">
        <f>D448/$B448-1</f>
        <v>-0.77916752101701869</v>
      </c>
      <c r="O448" s="1">
        <f>E448/$B448-1</f>
        <v>-0.52183719499692438</v>
      </c>
      <c r="P448">
        <f>_xlfn.RANK.EQ(M448,M$2:M$564)</f>
        <v>402</v>
      </c>
      <c r="Q448">
        <f>_xlfn.RANK.EQ(N448,N$2:N$564)</f>
        <v>437</v>
      </c>
      <c r="R448">
        <f>_xlfn.RANK.EQ(O448,O$2:O$564)</f>
        <v>464</v>
      </c>
      <c r="S448">
        <f>SUM(P448:R448)</f>
        <v>1303</v>
      </c>
      <c r="T448">
        <f>_xlfn.RANK.EQ(S448,S$2:S$564, 1)</f>
        <v>447</v>
      </c>
    </row>
    <row r="449" spans="1:20" x14ac:dyDescent="0.35">
      <c r="A449" t="s">
        <v>25</v>
      </c>
      <c r="B449">
        <v>143.38</v>
      </c>
      <c r="C449">
        <v>12.68</v>
      </c>
      <c r="D449">
        <v>23.34</v>
      </c>
      <c r="E449">
        <v>122.35</v>
      </c>
      <c r="F449">
        <v>10.85</v>
      </c>
      <c r="G449">
        <v>2</v>
      </c>
      <c r="H449">
        <v>10</v>
      </c>
      <c r="I449">
        <v>18</v>
      </c>
      <c r="J449">
        <v>0</v>
      </c>
      <c r="K449">
        <v>1</v>
      </c>
      <c r="L449">
        <v>2</v>
      </c>
      <c r="M449" s="1">
        <f>C449/$B449-1</f>
        <v>-0.91156367694239082</v>
      </c>
      <c r="N449" s="1">
        <f>D449/$B449-1</f>
        <v>-0.83721579020783932</v>
      </c>
      <c r="O449" s="1">
        <f>E449/$B449-1</f>
        <v>-0.14667317617519882</v>
      </c>
      <c r="P449">
        <f>_xlfn.RANK.EQ(M449,M$2:M$564)</f>
        <v>476</v>
      </c>
      <c r="Q449">
        <f>_xlfn.RANK.EQ(N449,N$2:N$564)</f>
        <v>461</v>
      </c>
      <c r="R449">
        <f>_xlfn.RANK.EQ(O449,O$2:O$564)</f>
        <v>367</v>
      </c>
      <c r="S449">
        <f>SUM(P449:R449)</f>
        <v>1304</v>
      </c>
      <c r="T449">
        <f>_xlfn.RANK.EQ(S449,S$2:S$564, 1)</f>
        <v>448</v>
      </c>
    </row>
    <row r="450" spans="1:20" x14ac:dyDescent="0.35">
      <c r="A450" t="s">
        <v>237</v>
      </c>
      <c r="B450">
        <v>343.48</v>
      </c>
      <c r="C450">
        <v>50.28</v>
      </c>
      <c r="D450">
        <v>77.540000000000006</v>
      </c>
      <c r="E450">
        <v>213.06</v>
      </c>
      <c r="F450">
        <v>10.45</v>
      </c>
      <c r="G450">
        <v>1</v>
      </c>
      <c r="H450">
        <v>6</v>
      </c>
      <c r="I450">
        <v>11</v>
      </c>
      <c r="J450">
        <v>0</v>
      </c>
      <c r="K450">
        <v>1</v>
      </c>
      <c r="L450">
        <v>2</v>
      </c>
      <c r="M450" s="1">
        <f>C450/$B450-1</f>
        <v>-0.85361593105857692</v>
      </c>
      <c r="N450" s="1">
        <f>D450/$B450-1</f>
        <v>-0.77425177594037498</v>
      </c>
      <c r="O450" s="1">
        <f>E450/$B450-1</f>
        <v>-0.37970187492721563</v>
      </c>
      <c r="P450">
        <f>_xlfn.RANK.EQ(M450,M$2:M$564)</f>
        <v>444</v>
      </c>
      <c r="Q450">
        <f>_xlfn.RANK.EQ(N450,N$2:N$564)</f>
        <v>435</v>
      </c>
      <c r="R450">
        <f>_xlfn.RANK.EQ(O450,O$2:O$564)</f>
        <v>427</v>
      </c>
      <c r="S450">
        <f>SUM(P450:R450)</f>
        <v>1306</v>
      </c>
      <c r="T450">
        <f>_xlfn.RANK.EQ(S450,S$2:S$564, 1)</f>
        <v>449</v>
      </c>
    </row>
    <row r="451" spans="1:20" x14ac:dyDescent="0.35">
      <c r="A451" t="s">
        <v>98</v>
      </c>
      <c r="B451">
        <v>182.6</v>
      </c>
      <c r="C451">
        <v>40.020000000000003</v>
      </c>
      <c r="D451">
        <v>40.14</v>
      </c>
      <c r="E451">
        <v>66.5</v>
      </c>
      <c r="F451">
        <v>11.1</v>
      </c>
      <c r="G451">
        <v>-3</v>
      </c>
      <c r="H451">
        <v>1</v>
      </c>
      <c r="I451">
        <v>5</v>
      </c>
      <c r="J451">
        <v>0</v>
      </c>
      <c r="K451">
        <v>1</v>
      </c>
      <c r="L451">
        <v>2</v>
      </c>
      <c r="M451" s="1">
        <f>C451/$B451-1</f>
        <v>-0.78083242059145674</v>
      </c>
      <c r="N451" s="1">
        <f>D451/$B451-1</f>
        <v>-0.78017524644030667</v>
      </c>
      <c r="O451" s="1">
        <f>E451/$B451-1</f>
        <v>-0.63581599123767796</v>
      </c>
      <c r="P451">
        <f>_xlfn.RANK.EQ(M451,M$2:M$564)</f>
        <v>384</v>
      </c>
      <c r="Q451">
        <f>_xlfn.RANK.EQ(N451,N$2:N$564)</f>
        <v>438</v>
      </c>
      <c r="R451">
        <f>_xlfn.RANK.EQ(O451,O$2:O$564)</f>
        <v>485</v>
      </c>
      <c r="S451">
        <f>SUM(P451:R451)</f>
        <v>1307</v>
      </c>
      <c r="T451">
        <f>_xlfn.RANK.EQ(S451,S$2:S$564, 1)</f>
        <v>450</v>
      </c>
    </row>
    <row r="452" spans="1:20" x14ac:dyDescent="0.35">
      <c r="A452" t="s">
        <v>236</v>
      </c>
      <c r="B452">
        <v>172.99</v>
      </c>
      <c r="C452">
        <v>31.09</v>
      </c>
      <c r="D452">
        <v>39.630000000000003</v>
      </c>
      <c r="E452">
        <v>81.03</v>
      </c>
      <c r="F452">
        <v>11.61</v>
      </c>
      <c r="G452">
        <v>1</v>
      </c>
      <c r="H452">
        <v>3</v>
      </c>
      <c r="I452">
        <v>5</v>
      </c>
      <c r="J452">
        <v>0</v>
      </c>
      <c r="K452">
        <v>0</v>
      </c>
      <c r="L452">
        <v>2</v>
      </c>
      <c r="M452" s="1">
        <f>C452/$B452-1</f>
        <v>-0.82027862882247526</v>
      </c>
      <c r="N452" s="1">
        <f>D452/$B452-1</f>
        <v>-0.77091161338805714</v>
      </c>
      <c r="O452" s="1">
        <f>E452/$B452-1</f>
        <v>-0.53159142146944904</v>
      </c>
      <c r="P452">
        <f>_xlfn.RANK.EQ(M452,M$2:M$564)</f>
        <v>415</v>
      </c>
      <c r="Q452">
        <f>_xlfn.RANK.EQ(N452,N$2:N$564)</f>
        <v>433</v>
      </c>
      <c r="R452">
        <f>_xlfn.RANK.EQ(O452,O$2:O$564)</f>
        <v>466</v>
      </c>
      <c r="S452">
        <f>SUM(P452:R452)</f>
        <v>1314</v>
      </c>
      <c r="T452">
        <f>_xlfn.RANK.EQ(S452,S$2:S$564, 1)</f>
        <v>451</v>
      </c>
    </row>
    <row r="453" spans="1:20" x14ac:dyDescent="0.35">
      <c r="A453" t="s">
        <v>236</v>
      </c>
      <c r="B453">
        <v>172.99</v>
      </c>
      <c r="C453">
        <v>31.09</v>
      </c>
      <c r="D453">
        <v>39.630000000000003</v>
      </c>
      <c r="E453">
        <v>81.03</v>
      </c>
      <c r="F453">
        <v>11.61</v>
      </c>
      <c r="G453">
        <v>1</v>
      </c>
      <c r="H453">
        <v>3</v>
      </c>
      <c r="I453">
        <v>5</v>
      </c>
      <c r="J453">
        <v>0</v>
      </c>
      <c r="K453">
        <v>0</v>
      </c>
      <c r="L453">
        <v>2</v>
      </c>
      <c r="M453" s="1">
        <f>C453/$B453-1</f>
        <v>-0.82027862882247526</v>
      </c>
      <c r="N453" s="1">
        <f>D453/$B453-1</f>
        <v>-0.77091161338805714</v>
      </c>
      <c r="O453" s="1">
        <f>E453/$B453-1</f>
        <v>-0.53159142146944904</v>
      </c>
      <c r="P453">
        <f>_xlfn.RANK.EQ(M453,M$2:M$564)</f>
        <v>415</v>
      </c>
      <c r="Q453">
        <f>_xlfn.RANK.EQ(N453,N$2:N$564)</f>
        <v>433</v>
      </c>
      <c r="R453">
        <f>_xlfn.RANK.EQ(O453,O$2:O$564)</f>
        <v>466</v>
      </c>
      <c r="S453">
        <f>SUM(P453:R453)</f>
        <v>1314</v>
      </c>
      <c r="T453">
        <f>_xlfn.RANK.EQ(S453,S$2:S$564, 1)</f>
        <v>451</v>
      </c>
    </row>
    <row r="454" spans="1:20" x14ac:dyDescent="0.35">
      <c r="A454" t="s">
        <v>532</v>
      </c>
      <c r="B454">
        <v>78.11</v>
      </c>
      <c r="C454">
        <v>5.71</v>
      </c>
      <c r="D454">
        <v>11.05</v>
      </c>
      <c r="E454">
        <v>69.180000000000007</v>
      </c>
      <c r="F454">
        <v>12.27</v>
      </c>
      <c r="G454">
        <v>2</v>
      </c>
      <c r="H454">
        <v>10</v>
      </c>
      <c r="I454">
        <v>17</v>
      </c>
      <c r="J454">
        <v>0</v>
      </c>
      <c r="K454">
        <v>0</v>
      </c>
      <c r="L454">
        <v>2</v>
      </c>
      <c r="M454" s="1">
        <f>C454/$B454-1</f>
        <v>-0.92689796440916661</v>
      </c>
      <c r="N454" s="1">
        <f>D454/$B454-1</f>
        <v>-0.85853283830495453</v>
      </c>
      <c r="O454" s="1">
        <f>E454/$B454-1</f>
        <v>-0.11432595058251172</v>
      </c>
      <c r="P454">
        <f>_xlfn.RANK.EQ(M454,M$2:M$564)</f>
        <v>484</v>
      </c>
      <c r="Q454">
        <f>_xlfn.RANK.EQ(N454,N$2:N$564)</f>
        <v>472</v>
      </c>
      <c r="R454">
        <f>_xlfn.RANK.EQ(O454,O$2:O$564)</f>
        <v>358</v>
      </c>
      <c r="S454">
        <f>SUM(P454:R454)</f>
        <v>1314</v>
      </c>
      <c r="T454">
        <f>_xlfn.RANK.EQ(S454,S$2:S$564, 1)</f>
        <v>451</v>
      </c>
    </row>
    <row r="455" spans="1:20" x14ac:dyDescent="0.35">
      <c r="A455" t="s">
        <v>218</v>
      </c>
      <c r="B455">
        <v>6</v>
      </c>
      <c r="C455">
        <v>1.29</v>
      </c>
      <c r="D455">
        <v>1.27</v>
      </c>
      <c r="E455">
        <v>2.16</v>
      </c>
      <c r="F455">
        <v>13.09</v>
      </c>
      <c r="G455">
        <v>2</v>
      </c>
      <c r="H455">
        <v>8</v>
      </c>
      <c r="I455">
        <v>15</v>
      </c>
      <c r="J455">
        <v>0</v>
      </c>
      <c r="K455">
        <v>2</v>
      </c>
      <c r="L455">
        <v>4</v>
      </c>
      <c r="M455" s="1">
        <f>C455/$B455-1</f>
        <v>-0.78500000000000003</v>
      </c>
      <c r="N455" s="1">
        <f>D455/$B455-1</f>
        <v>-0.78833333333333333</v>
      </c>
      <c r="O455" s="1">
        <f>E455/$B455-1</f>
        <v>-0.6399999999999999</v>
      </c>
      <c r="P455">
        <f>_xlfn.RANK.EQ(M455,M$2:M$564)</f>
        <v>387</v>
      </c>
      <c r="Q455">
        <f>_xlfn.RANK.EQ(N455,N$2:N$564)</f>
        <v>443</v>
      </c>
      <c r="R455">
        <f>_xlfn.RANK.EQ(O455,O$2:O$564)</f>
        <v>487</v>
      </c>
      <c r="S455">
        <f>SUM(P455:R455)</f>
        <v>1317</v>
      </c>
      <c r="T455">
        <f>_xlfn.RANK.EQ(S455,S$2:S$564, 1)</f>
        <v>454</v>
      </c>
    </row>
    <row r="456" spans="1:20" x14ac:dyDescent="0.35">
      <c r="A456" t="s">
        <v>232</v>
      </c>
      <c r="B456">
        <v>136.5</v>
      </c>
      <c r="C456">
        <v>13.75</v>
      </c>
      <c r="D456">
        <v>22.96</v>
      </c>
      <c r="E456">
        <v>105.48</v>
      </c>
      <c r="F456">
        <v>8.81</v>
      </c>
      <c r="G456">
        <v>2</v>
      </c>
      <c r="H456">
        <v>10</v>
      </c>
      <c r="I456">
        <v>18</v>
      </c>
      <c r="J456">
        <v>1</v>
      </c>
      <c r="K456">
        <v>5</v>
      </c>
      <c r="L456">
        <v>9</v>
      </c>
      <c r="M456" s="1">
        <f>C456/$B456-1</f>
        <v>-0.89926739926739929</v>
      </c>
      <c r="N456" s="1">
        <f>D456/$B456-1</f>
        <v>-0.83179487179487177</v>
      </c>
      <c r="O456" s="1">
        <f>E456/$B456-1</f>
        <v>-0.22725274725274724</v>
      </c>
      <c r="P456">
        <f>_xlfn.RANK.EQ(M456,M$2:M$564)</f>
        <v>468</v>
      </c>
      <c r="Q456">
        <f>_xlfn.RANK.EQ(N456,N$2:N$564)</f>
        <v>459</v>
      </c>
      <c r="R456">
        <f>_xlfn.RANK.EQ(O456,O$2:O$564)</f>
        <v>390</v>
      </c>
      <c r="S456">
        <f>SUM(P456:R456)</f>
        <v>1317</v>
      </c>
      <c r="T456">
        <f>_xlfn.RANK.EQ(S456,S$2:S$564, 1)</f>
        <v>454</v>
      </c>
    </row>
    <row r="457" spans="1:20" x14ac:dyDescent="0.35">
      <c r="A457" t="s">
        <v>413</v>
      </c>
      <c r="B457">
        <v>107.53</v>
      </c>
      <c r="C457">
        <v>19.18</v>
      </c>
      <c r="D457">
        <v>22.51</v>
      </c>
      <c r="E457">
        <v>54.62</v>
      </c>
      <c r="F457">
        <v>12.57</v>
      </c>
      <c r="G457">
        <v>0</v>
      </c>
      <c r="H457">
        <v>1</v>
      </c>
      <c r="I457">
        <v>5</v>
      </c>
      <c r="J457">
        <v>0</v>
      </c>
      <c r="K457">
        <v>0</v>
      </c>
      <c r="L457">
        <v>2</v>
      </c>
      <c r="M457" s="1">
        <f>C457/$B457-1</f>
        <v>-0.82163117269599184</v>
      </c>
      <c r="N457" s="1">
        <f>D457/$B457-1</f>
        <v>-0.79066307077094766</v>
      </c>
      <c r="O457" s="1">
        <f>E457/$B457-1</f>
        <v>-0.49204873058681298</v>
      </c>
      <c r="P457">
        <f>_xlfn.RANK.EQ(M457,M$2:M$564)</f>
        <v>419</v>
      </c>
      <c r="Q457">
        <f>_xlfn.RANK.EQ(N457,N$2:N$564)</f>
        <v>444</v>
      </c>
      <c r="R457">
        <f>_xlfn.RANK.EQ(O457,O$2:O$564)</f>
        <v>457</v>
      </c>
      <c r="S457">
        <f>SUM(P457:R457)</f>
        <v>1320</v>
      </c>
      <c r="T457">
        <f>_xlfn.RANK.EQ(S457,S$2:S$564, 1)</f>
        <v>456</v>
      </c>
    </row>
    <row r="458" spans="1:20" x14ac:dyDescent="0.35">
      <c r="A458" t="s">
        <v>511</v>
      </c>
      <c r="B458">
        <v>82.69</v>
      </c>
      <c r="C458">
        <v>16.149999999999999</v>
      </c>
      <c r="D458">
        <v>15.97</v>
      </c>
      <c r="E458">
        <v>35.64</v>
      </c>
      <c r="F458">
        <v>12.78</v>
      </c>
      <c r="G458">
        <v>-3</v>
      </c>
      <c r="H458">
        <v>1</v>
      </c>
      <c r="I458">
        <v>5</v>
      </c>
      <c r="J458">
        <v>0</v>
      </c>
      <c r="K458">
        <v>0</v>
      </c>
      <c r="L458">
        <v>2</v>
      </c>
      <c r="M458" s="1">
        <f>C458/$B458-1</f>
        <v>-0.80469222396904105</v>
      </c>
      <c r="N458" s="1">
        <f>D458/$B458-1</f>
        <v>-0.80686902890313217</v>
      </c>
      <c r="O458" s="1">
        <f>E458/$B458-1</f>
        <v>-0.56899262304994558</v>
      </c>
      <c r="P458">
        <f>_xlfn.RANK.EQ(M458,M$2:M$564)</f>
        <v>400</v>
      </c>
      <c r="Q458">
        <f>_xlfn.RANK.EQ(N458,N$2:N$564)</f>
        <v>449</v>
      </c>
      <c r="R458">
        <f>_xlfn.RANK.EQ(O458,O$2:O$564)</f>
        <v>478</v>
      </c>
      <c r="S458">
        <f>SUM(P458:R458)</f>
        <v>1327</v>
      </c>
      <c r="T458">
        <f>_xlfn.RANK.EQ(S458,S$2:S$564, 1)</f>
        <v>457</v>
      </c>
    </row>
    <row r="459" spans="1:20" x14ac:dyDescent="0.35">
      <c r="A459" t="s">
        <v>541</v>
      </c>
      <c r="B459">
        <v>96.69</v>
      </c>
      <c r="C459">
        <v>9.8699999999999992</v>
      </c>
      <c r="D459">
        <v>15.8</v>
      </c>
      <c r="E459">
        <v>69.7</v>
      </c>
      <c r="F459">
        <v>13.58</v>
      </c>
      <c r="G459">
        <v>1</v>
      </c>
      <c r="H459">
        <v>5</v>
      </c>
      <c r="I459">
        <v>10</v>
      </c>
      <c r="J459">
        <v>0</v>
      </c>
      <c r="K459">
        <v>0</v>
      </c>
      <c r="L459">
        <v>2</v>
      </c>
      <c r="M459" s="1">
        <f>C459/$B459-1</f>
        <v>-0.8979211914365498</v>
      </c>
      <c r="N459" s="1">
        <f>D459/$B459-1</f>
        <v>-0.83659116764918817</v>
      </c>
      <c r="O459" s="1">
        <f>E459/$B459-1</f>
        <v>-0.27913951804736781</v>
      </c>
      <c r="P459">
        <f>_xlfn.RANK.EQ(M459,M$2:M$564)</f>
        <v>466</v>
      </c>
      <c r="Q459">
        <f>_xlfn.RANK.EQ(N459,N$2:N$564)</f>
        <v>460</v>
      </c>
      <c r="R459">
        <f>_xlfn.RANK.EQ(O459,O$2:O$564)</f>
        <v>405</v>
      </c>
      <c r="S459">
        <f>SUM(P459:R459)</f>
        <v>1331</v>
      </c>
      <c r="T459">
        <f>_xlfn.RANK.EQ(S459,S$2:S$564, 1)</f>
        <v>458</v>
      </c>
    </row>
    <row r="460" spans="1:20" x14ac:dyDescent="0.35">
      <c r="A460" t="s">
        <v>74</v>
      </c>
      <c r="B460">
        <v>218.34</v>
      </c>
      <c r="C460">
        <v>39.799999999999997</v>
      </c>
      <c r="D460">
        <v>46.99</v>
      </c>
      <c r="E460">
        <v>92.21</v>
      </c>
      <c r="F460">
        <v>11.56</v>
      </c>
      <c r="G460">
        <v>0</v>
      </c>
      <c r="H460">
        <v>2</v>
      </c>
      <c r="I460">
        <v>5</v>
      </c>
      <c r="J460">
        <v>0</v>
      </c>
      <c r="K460">
        <v>1</v>
      </c>
      <c r="L460">
        <v>2</v>
      </c>
      <c r="M460" s="1">
        <f>C460/$B460-1</f>
        <v>-0.81771548960337093</v>
      </c>
      <c r="N460" s="1">
        <f>D460/$B460-1</f>
        <v>-0.78478519739855268</v>
      </c>
      <c r="O460" s="1">
        <f>E460/$B460-1</f>
        <v>-0.57767701749564904</v>
      </c>
      <c r="P460">
        <f>_xlfn.RANK.EQ(M460,M$2:M$564)</f>
        <v>413</v>
      </c>
      <c r="Q460">
        <f>_xlfn.RANK.EQ(N460,N$2:N$564)</f>
        <v>440</v>
      </c>
      <c r="R460">
        <f>_xlfn.RANK.EQ(O460,O$2:O$564)</f>
        <v>479</v>
      </c>
      <c r="S460">
        <f>SUM(P460:R460)</f>
        <v>1332</v>
      </c>
      <c r="T460">
        <f>_xlfn.RANK.EQ(S460,S$2:S$564, 1)</f>
        <v>459</v>
      </c>
    </row>
    <row r="461" spans="1:20" x14ac:dyDescent="0.35">
      <c r="A461" t="s">
        <v>374</v>
      </c>
      <c r="B461">
        <v>84.08</v>
      </c>
      <c r="C461">
        <v>15.06</v>
      </c>
      <c r="D461">
        <v>16.920000000000002</v>
      </c>
      <c r="E461">
        <v>38.79</v>
      </c>
      <c r="F461">
        <v>12.66</v>
      </c>
      <c r="G461">
        <v>0</v>
      </c>
      <c r="H461">
        <v>1</v>
      </c>
      <c r="I461">
        <v>5</v>
      </c>
      <c r="J461">
        <v>0</v>
      </c>
      <c r="K461">
        <v>0</v>
      </c>
      <c r="L461">
        <v>2</v>
      </c>
      <c r="M461" s="1">
        <f>C461/$B461-1</f>
        <v>-0.82088487155090384</v>
      </c>
      <c r="N461" s="1">
        <f>D461/$B461-1</f>
        <v>-0.79876308277830632</v>
      </c>
      <c r="O461" s="1">
        <f>E461/$B461-1</f>
        <v>-0.53865366317792573</v>
      </c>
      <c r="P461">
        <f>_xlfn.RANK.EQ(M461,M$2:M$564)</f>
        <v>417</v>
      </c>
      <c r="Q461">
        <f>_xlfn.RANK.EQ(N461,N$2:N$564)</f>
        <v>445</v>
      </c>
      <c r="R461">
        <f>_xlfn.RANK.EQ(O461,O$2:O$564)</f>
        <v>470</v>
      </c>
      <c r="S461">
        <f>SUM(P461:R461)</f>
        <v>1332</v>
      </c>
      <c r="T461">
        <f>_xlfn.RANK.EQ(S461,S$2:S$564, 1)</f>
        <v>459</v>
      </c>
    </row>
    <row r="462" spans="1:20" x14ac:dyDescent="0.35">
      <c r="A462" t="s">
        <v>386</v>
      </c>
      <c r="B462">
        <v>75.52</v>
      </c>
      <c r="C462">
        <v>13.4</v>
      </c>
      <c r="D462">
        <v>14.23</v>
      </c>
      <c r="E462">
        <v>34.28</v>
      </c>
      <c r="F462">
        <v>13.65</v>
      </c>
      <c r="G462">
        <v>-3</v>
      </c>
      <c r="H462">
        <v>1</v>
      </c>
      <c r="I462">
        <v>5</v>
      </c>
      <c r="J462">
        <v>0</v>
      </c>
      <c r="K462">
        <v>0</v>
      </c>
      <c r="L462">
        <v>2</v>
      </c>
      <c r="M462" s="1">
        <f>C462/$B462-1</f>
        <v>-0.82256355932203384</v>
      </c>
      <c r="N462" s="1">
        <f>D462/$B462-1</f>
        <v>-0.81157309322033899</v>
      </c>
      <c r="O462" s="1">
        <f>E462/$B462-1</f>
        <v>-0.54608050847457623</v>
      </c>
      <c r="P462">
        <f>_xlfn.RANK.EQ(M462,M$2:M$564)</f>
        <v>420</v>
      </c>
      <c r="Q462">
        <f>_xlfn.RANK.EQ(N462,N$2:N$564)</f>
        <v>450</v>
      </c>
      <c r="R462">
        <f>_xlfn.RANK.EQ(O462,O$2:O$564)</f>
        <v>472</v>
      </c>
      <c r="S462">
        <f>SUM(P462:R462)</f>
        <v>1342</v>
      </c>
      <c r="T462">
        <f>_xlfn.RANK.EQ(S462,S$2:S$564, 1)</f>
        <v>461</v>
      </c>
    </row>
    <row r="463" spans="1:20" x14ac:dyDescent="0.35">
      <c r="A463" t="s">
        <v>524</v>
      </c>
      <c r="B463">
        <v>110.52</v>
      </c>
      <c r="C463">
        <v>20.13</v>
      </c>
      <c r="D463">
        <v>19.850000000000001</v>
      </c>
      <c r="E463">
        <v>47.68</v>
      </c>
      <c r="F463">
        <v>13.22</v>
      </c>
      <c r="G463">
        <v>-3</v>
      </c>
      <c r="H463">
        <v>1</v>
      </c>
      <c r="I463">
        <v>5</v>
      </c>
      <c r="J463">
        <v>0</v>
      </c>
      <c r="K463">
        <v>0</v>
      </c>
      <c r="L463">
        <v>2</v>
      </c>
      <c r="M463" s="1">
        <f>C463/$B463-1</f>
        <v>-0.8178610206297503</v>
      </c>
      <c r="N463" s="1">
        <f>D463/$B463-1</f>
        <v>-0.82039449873326098</v>
      </c>
      <c r="O463" s="1">
        <f>E463/$B463-1</f>
        <v>-0.56858487151646764</v>
      </c>
      <c r="P463">
        <f>_xlfn.RANK.EQ(M463,M$2:M$564)</f>
        <v>414</v>
      </c>
      <c r="Q463">
        <f>_xlfn.RANK.EQ(N463,N$2:N$564)</f>
        <v>453</v>
      </c>
      <c r="R463">
        <f>_xlfn.RANK.EQ(O463,O$2:O$564)</f>
        <v>477</v>
      </c>
      <c r="S463">
        <f>SUM(P463:R463)</f>
        <v>1344</v>
      </c>
      <c r="T463">
        <f>_xlfn.RANK.EQ(S463,S$2:S$564, 1)</f>
        <v>462</v>
      </c>
    </row>
    <row r="464" spans="1:20" x14ac:dyDescent="0.35">
      <c r="A464" t="s">
        <v>171</v>
      </c>
      <c r="B464">
        <v>196.29</v>
      </c>
      <c r="C464">
        <v>21.08</v>
      </c>
      <c r="D464">
        <v>38.130000000000003</v>
      </c>
      <c r="E464">
        <v>114.51</v>
      </c>
      <c r="F464">
        <v>9.48</v>
      </c>
      <c r="G464">
        <v>1</v>
      </c>
      <c r="H464">
        <v>7</v>
      </c>
      <c r="I464">
        <v>12</v>
      </c>
      <c r="J464">
        <v>0</v>
      </c>
      <c r="K464">
        <v>2</v>
      </c>
      <c r="L464">
        <v>3</v>
      </c>
      <c r="M464" s="1">
        <f>C464/$B464-1</f>
        <v>-0.89260787610168624</v>
      </c>
      <c r="N464" s="1">
        <f>D464/$B464-1</f>
        <v>-0.80574659941922666</v>
      </c>
      <c r="O464" s="1">
        <f>E464/$B464-1</f>
        <v>-0.41662845789393244</v>
      </c>
      <c r="P464">
        <f>_xlfn.RANK.EQ(M464,M$2:M$564)</f>
        <v>463</v>
      </c>
      <c r="Q464">
        <f>_xlfn.RANK.EQ(N464,N$2:N$564)</f>
        <v>448</v>
      </c>
      <c r="R464">
        <f>_xlfn.RANK.EQ(O464,O$2:O$564)</f>
        <v>436</v>
      </c>
      <c r="S464">
        <f>SUM(P464:R464)</f>
        <v>1347</v>
      </c>
      <c r="T464">
        <f>_xlfn.RANK.EQ(S464,S$2:S$564, 1)</f>
        <v>463</v>
      </c>
    </row>
    <row r="465" spans="1:20" x14ac:dyDescent="0.35">
      <c r="A465" t="s">
        <v>394</v>
      </c>
      <c r="B465">
        <v>130.78</v>
      </c>
      <c r="C465">
        <v>12.06</v>
      </c>
      <c r="D465">
        <v>16.899999999999999</v>
      </c>
      <c r="E465">
        <v>97.99</v>
      </c>
      <c r="F465">
        <v>13.92</v>
      </c>
      <c r="G465">
        <v>-2</v>
      </c>
      <c r="H465">
        <v>1</v>
      </c>
      <c r="I465">
        <v>5</v>
      </c>
      <c r="J465">
        <v>0</v>
      </c>
      <c r="K465">
        <v>0</v>
      </c>
      <c r="L465">
        <v>2</v>
      </c>
      <c r="M465" s="1">
        <f>C465/$B465-1</f>
        <v>-0.90778406484171892</v>
      </c>
      <c r="N465" s="1">
        <f>D465/$B465-1</f>
        <v>-0.87077534791252487</v>
      </c>
      <c r="O465" s="1">
        <f>E465/$B465-1</f>
        <v>-0.25072641076617219</v>
      </c>
      <c r="P465">
        <f>_xlfn.RANK.EQ(M465,M$2:M$564)</f>
        <v>473</v>
      </c>
      <c r="Q465">
        <f>_xlfn.RANK.EQ(N465,N$2:N$564)</f>
        <v>479</v>
      </c>
      <c r="R465">
        <f>_xlfn.RANK.EQ(O465,O$2:O$564)</f>
        <v>398</v>
      </c>
      <c r="S465">
        <f>SUM(P465:R465)</f>
        <v>1350</v>
      </c>
      <c r="T465">
        <f>_xlfn.RANK.EQ(S465,S$2:S$564, 1)</f>
        <v>464</v>
      </c>
    </row>
    <row r="466" spans="1:20" x14ac:dyDescent="0.35">
      <c r="A466" t="s">
        <v>35</v>
      </c>
      <c r="B466">
        <v>157.22999999999999</v>
      </c>
      <c r="C466">
        <v>12.11</v>
      </c>
      <c r="D466">
        <v>19.02</v>
      </c>
      <c r="E466">
        <v>119.67</v>
      </c>
      <c r="F466">
        <v>11.67</v>
      </c>
      <c r="G466">
        <v>2</v>
      </c>
      <c r="H466">
        <v>10</v>
      </c>
      <c r="I466">
        <v>18</v>
      </c>
      <c r="J466">
        <v>0</v>
      </c>
      <c r="K466">
        <v>0</v>
      </c>
      <c r="L466">
        <v>2</v>
      </c>
      <c r="M466" s="1">
        <f>C466/$B466-1</f>
        <v>-0.92297907524009415</v>
      </c>
      <c r="N466" s="1">
        <f>D466/$B466-1</f>
        <v>-0.8790307193283724</v>
      </c>
      <c r="O466" s="1">
        <f>E466/$B466-1</f>
        <v>-0.23888570883419191</v>
      </c>
      <c r="P466">
        <f>_xlfn.RANK.EQ(M466,M$2:M$564)</f>
        <v>479</v>
      </c>
      <c r="Q466">
        <f>_xlfn.RANK.EQ(N466,N$2:N$564)</f>
        <v>481</v>
      </c>
      <c r="R466">
        <f>_xlfn.RANK.EQ(O466,O$2:O$564)</f>
        <v>396</v>
      </c>
      <c r="S466">
        <f>SUM(P466:R466)</f>
        <v>1356</v>
      </c>
      <c r="T466">
        <f>_xlfn.RANK.EQ(S466,S$2:S$564, 1)</f>
        <v>465</v>
      </c>
    </row>
    <row r="467" spans="1:20" x14ac:dyDescent="0.35">
      <c r="A467" t="s">
        <v>515</v>
      </c>
      <c r="B467">
        <v>294.94</v>
      </c>
      <c r="C467">
        <v>52.71</v>
      </c>
      <c r="D467">
        <v>52.13</v>
      </c>
      <c r="E467">
        <v>107.79</v>
      </c>
      <c r="F467">
        <v>12.52</v>
      </c>
      <c r="G467">
        <v>-3</v>
      </c>
      <c r="H467">
        <v>1</v>
      </c>
      <c r="I467">
        <v>5</v>
      </c>
      <c r="J467">
        <v>0</v>
      </c>
      <c r="K467">
        <v>0</v>
      </c>
      <c r="L467">
        <v>2</v>
      </c>
      <c r="M467" s="1">
        <f>C467/$B467-1</f>
        <v>-0.82128568522411338</v>
      </c>
      <c r="N467" s="1">
        <f>D467/$B467-1</f>
        <v>-0.8232521868854682</v>
      </c>
      <c r="O467" s="1">
        <f>E467/$B467-1</f>
        <v>-0.6345358377975181</v>
      </c>
      <c r="P467">
        <f>_xlfn.RANK.EQ(M467,M$2:M$564)</f>
        <v>418</v>
      </c>
      <c r="Q467">
        <f>_xlfn.RANK.EQ(N467,N$2:N$564)</f>
        <v>457</v>
      </c>
      <c r="R467">
        <f>_xlfn.RANK.EQ(O467,O$2:O$564)</f>
        <v>484</v>
      </c>
      <c r="S467">
        <f>SUM(P467:R467)</f>
        <v>1359</v>
      </c>
      <c r="T467">
        <f>_xlfn.RANK.EQ(S467,S$2:S$564, 1)</f>
        <v>466</v>
      </c>
    </row>
    <row r="468" spans="1:20" x14ac:dyDescent="0.35">
      <c r="A468" t="s">
        <v>538</v>
      </c>
      <c r="B468">
        <v>13.6</v>
      </c>
      <c r="C468">
        <v>2.4</v>
      </c>
      <c r="D468">
        <v>2.33</v>
      </c>
      <c r="E468">
        <v>5.46</v>
      </c>
      <c r="F468">
        <v>13.91</v>
      </c>
      <c r="G468">
        <v>-3</v>
      </c>
      <c r="H468">
        <v>1</v>
      </c>
      <c r="I468">
        <v>5</v>
      </c>
      <c r="J468">
        <v>0</v>
      </c>
      <c r="K468">
        <v>0</v>
      </c>
      <c r="L468">
        <v>2</v>
      </c>
      <c r="M468" s="1">
        <f>C468/$B468-1</f>
        <v>-0.82352941176470584</v>
      </c>
      <c r="N468" s="1">
        <f>D468/$B468-1</f>
        <v>-0.82867647058823524</v>
      </c>
      <c r="O468" s="1">
        <f>E468/$B468-1</f>
        <v>-0.59852941176470587</v>
      </c>
      <c r="P468">
        <f>_xlfn.RANK.EQ(M468,M$2:M$564)</f>
        <v>422</v>
      </c>
      <c r="Q468">
        <f>_xlfn.RANK.EQ(N468,N$2:N$564)</f>
        <v>458</v>
      </c>
      <c r="R468">
        <f>_xlfn.RANK.EQ(O468,O$2:O$564)</f>
        <v>481</v>
      </c>
      <c r="S468">
        <f>SUM(P468:R468)</f>
        <v>1361</v>
      </c>
      <c r="T468">
        <f>_xlfn.RANK.EQ(S468,S$2:S$564, 1)</f>
        <v>467</v>
      </c>
    </row>
    <row r="469" spans="1:20" x14ac:dyDescent="0.35">
      <c r="A469" t="s">
        <v>557</v>
      </c>
      <c r="B469">
        <v>17</v>
      </c>
      <c r="C469">
        <v>2.7</v>
      </c>
      <c r="D469">
        <v>3.03</v>
      </c>
      <c r="E469">
        <v>7.49</v>
      </c>
      <c r="F469">
        <v>12</v>
      </c>
      <c r="G469">
        <v>-3</v>
      </c>
      <c r="H469">
        <v>1</v>
      </c>
      <c r="I469">
        <v>5</v>
      </c>
      <c r="J469">
        <v>0</v>
      </c>
      <c r="K469">
        <v>1</v>
      </c>
      <c r="L469">
        <v>2</v>
      </c>
      <c r="M469" s="1">
        <f>C469/$B469-1</f>
        <v>-0.8411764705882353</v>
      </c>
      <c r="N469" s="1">
        <f>D469/$B469-1</f>
        <v>-0.82176470588235295</v>
      </c>
      <c r="O469" s="1">
        <f>E469/$B469-1</f>
        <v>-0.55941176470588228</v>
      </c>
      <c r="P469">
        <f>_xlfn.RANK.EQ(M469,M$2:M$564)</f>
        <v>434</v>
      </c>
      <c r="Q469">
        <f>_xlfn.RANK.EQ(N469,N$2:N$564)</f>
        <v>454</v>
      </c>
      <c r="R469">
        <f>_xlfn.RANK.EQ(O469,O$2:O$564)</f>
        <v>474</v>
      </c>
      <c r="S469">
        <f>SUM(P469:R469)</f>
        <v>1362</v>
      </c>
      <c r="T469">
        <f>_xlfn.RANK.EQ(S469,S$2:S$564, 1)</f>
        <v>468</v>
      </c>
    </row>
    <row r="470" spans="1:20" x14ac:dyDescent="0.35">
      <c r="A470" t="s">
        <v>491</v>
      </c>
      <c r="B470">
        <v>52.31</v>
      </c>
      <c r="C470">
        <v>5.91</v>
      </c>
      <c r="D470">
        <v>8.5</v>
      </c>
      <c r="E470">
        <v>29.45</v>
      </c>
      <c r="F470">
        <v>12.75</v>
      </c>
      <c r="G470">
        <v>0</v>
      </c>
      <c r="H470">
        <v>2</v>
      </c>
      <c r="I470">
        <v>5</v>
      </c>
      <c r="J470">
        <v>0</v>
      </c>
      <c r="K470">
        <v>0</v>
      </c>
      <c r="L470">
        <v>2</v>
      </c>
      <c r="M470" s="1">
        <f>C470/$B470-1</f>
        <v>-0.8870196903077805</v>
      </c>
      <c r="N470" s="1">
        <f>D470/$B470-1</f>
        <v>-0.83750716880137643</v>
      </c>
      <c r="O470" s="1">
        <f>E470/$B470-1</f>
        <v>-0.4370101319059454</v>
      </c>
      <c r="P470">
        <f>_xlfn.RANK.EQ(M470,M$2:M$564)</f>
        <v>459</v>
      </c>
      <c r="Q470">
        <f>_xlfn.RANK.EQ(N470,N$2:N$564)</f>
        <v>462</v>
      </c>
      <c r="R470">
        <f>_xlfn.RANK.EQ(O470,O$2:O$564)</f>
        <v>447</v>
      </c>
      <c r="S470">
        <f>SUM(P470:R470)</f>
        <v>1368</v>
      </c>
      <c r="T470">
        <f>_xlfn.RANK.EQ(S470,S$2:S$564, 1)</f>
        <v>469</v>
      </c>
    </row>
    <row r="471" spans="1:20" x14ac:dyDescent="0.35">
      <c r="A471" t="s">
        <v>26</v>
      </c>
      <c r="B471">
        <v>292.18</v>
      </c>
      <c r="C471">
        <v>42.05</v>
      </c>
      <c r="D471">
        <v>56.98</v>
      </c>
      <c r="E471">
        <v>127.36</v>
      </c>
      <c r="F471">
        <v>11.27</v>
      </c>
      <c r="G471">
        <v>1</v>
      </c>
      <c r="H471">
        <v>4</v>
      </c>
      <c r="I471">
        <v>7</v>
      </c>
      <c r="J471">
        <v>0</v>
      </c>
      <c r="K471">
        <v>0</v>
      </c>
      <c r="L471">
        <v>2</v>
      </c>
      <c r="M471" s="1">
        <f>C471/$B471-1</f>
        <v>-0.85608186734204939</v>
      </c>
      <c r="N471" s="1">
        <f>D471/$B471-1</f>
        <v>-0.80498322951605172</v>
      </c>
      <c r="O471" s="1">
        <f>E471/$B471-1</f>
        <v>-0.56410431925525362</v>
      </c>
      <c r="P471">
        <f>_xlfn.RANK.EQ(M471,M$2:M$564)</f>
        <v>447</v>
      </c>
      <c r="Q471">
        <f>_xlfn.RANK.EQ(N471,N$2:N$564)</f>
        <v>447</v>
      </c>
      <c r="R471">
        <f>_xlfn.RANK.EQ(O471,O$2:O$564)</f>
        <v>476</v>
      </c>
      <c r="S471">
        <f>SUM(P471:R471)</f>
        <v>1370</v>
      </c>
      <c r="T471">
        <f>_xlfn.RANK.EQ(S471,S$2:S$564, 1)</f>
        <v>470</v>
      </c>
    </row>
    <row r="472" spans="1:20" x14ac:dyDescent="0.35">
      <c r="A472" t="s">
        <v>60</v>
      </c>
      <c r="B472">
        <v>359.87</v>
      </c>
      <c r="C472">
        <v>21.93</v>
      </c>
      <c r="D472">
        <v>46.89</v>
      </c>
      <c r="E472">
        <v>267.02999999999997</v>
      </c>
      <c r="F472">
        <v>10.74</v>
      </c>
      <c r="G472">
        <v>2</v>
      </c>
      <c r="H472">
        <v>10</v>
      </c>
      <c r="I472">
        <v>18</v>
      </c>
      <c r="J472">
        <v>0</v>
      </c>
      <c r="K472">
        <v>0</v>
      </c>
      <c r="L472">
        <v>2</v>
      </c>
      <c r="M472" s="1">
        <f>C472/$B472-1</f>
        <v>-0.93906132770167006</v>
      </c>
      <c r="N472" s="1">
        <f>D472/$B472-1</f>
        <v>-0.86970294828688144</v>
      </c>
      <c r="O472" s="1">
        <f>E472/$B472-1</f>
        <v>-0.2579820490732766</v>
      </c>
      <c r="P472">
        <f>_xlfn.RANK.EQ(M472,M$2:M$564)</f>
        <v>493</v>
      </c>
      <c r="Q472">
        <f>_xlfn.RANK.EQ(N472,N$2:N$564)</f>
        <v>478</v>
      </c>
      <c r="R472">
        <f>_xlfn.RANK.EQ(O472,O$2:O$564)</f>
        <v>400</v>
      </c>
      <c r="S472">
        <f>SUM(P472:R472)</f>
        <v>1371</v>
      </c>
      <c r="T472">
        <f>_xlfn.RANK.EQ(S472,S$2:S$564, 1)</f>
        <v>471</v>
      </c>
    </row>
    <row r="473" spans="1:20" x14ac:dyDescent="0.35">
      <c r="A473" t="s">
        <v>304</v>
      </c>
      <c r="B473">
        <v>788.61</v>
      </c>
      <c r="C473">
        <v>114.99</v>
      </c>
      <c r="D473">
        <v>139.46</v>
      </c>
      <c r="E473">
        <v>295.35000000000002</v>
      </c>
      <c r="F473">
        <v>12.74</v>
      </c>
      <c r="G473">
        <v>1</v>
      </c>
      <c r="H473">
        <v>3</v>
      </c>
      <c r="I473">
        <v>5</v>
      </c>
      <c r="J473">
        <v>0</v>
      </c>
      <c r="K473">
        <v>0</v>
      </c>
      <c r="L473">
        <v>2</v>
      </c>
      <c r="M473" s="1">
        <f>C473/$B473-1</f>
        <v>-0.85418648000913</v>
      </c>
      <c r="N473" s="1">
        <f>D473/$B473-1</f>
        <v>-0.82315720064417142</v>
      </c>
      <c r="O473" s="1">
        <f>E473/$B473-1</f>
        <v>-0.62548027542131091</v>
      </c>
      <c r="P473">
        <f>_xlfn.RANK.EQ(M473,M$2:M$564)</f>
        <v>445</v>
      </c>
      <c r="Q473">
        <f>_xlfn.RANK.EQ(N473,N$2:N$564)</f>
        <v>456</v>
      </c>
      <c r="R473">
        <f>_xlfn.RANK.EQ(O473,O$2:O$564)</f>
        <v>483</v>
      </c>
      <c r="S473">
        <f>SUM(P473:R473)</f>
        <v>1384</v>
      </c>
      <c r="T473">
        <f>_xlfn.RANK.EQ(S473,S$2:S$564, 1)</f>
        <v>472</v>
      </c>
    </row>
    <row r="474" spans="1:20" x14ac:dyDescent="0.35">
      <c r="A474" t="s">
        <v>135</v>
      </c>
      <c r="B474">
        <v>174.87</v>
      </c>
      <c r="C474">
        <v>8.3800000000000008</v>
      </c>
      <c r="D474">
        <v>13.76</v>
      </c>
      <c r="E474">
        <v>126.84</v>
      </c>
      <c r="F474">
        <v>9.67</v>
      </c>
      <c r="G474">
        <v>2</v>
      </c>
      <c r="H474">
        <v>9</v>
      </c>
      <c r="I474">
        <v>16</v>
      </c>
      <c r="J474">
        <v>1</v>
      </c>
      <c r="K474">
        <v>5</v>
      </c>
      <c r="L474">
        <v>9</v>
      </c>
      <c r="M474" s="1">
        <f>C474/$B474-1</f>
        <v>-0.95207868702464693</v>
      </c>
      <c r="N474" s="1">
        <f>D474/$B474-1</f>
        <v>-0.92131297535311951</v>
      </c>
      <c r="O474" s="1">
        <f>E474/$B474-1</f>
        <v>-0.2746611768742494</v>
      </c>
      <c r="P474">
        <f>_xlfn.RANK.EQ(M474,M$2:M$564)</f>
        <v>500</v>
      </c>
      <c r="Q474">
        <f>_xlfn.RANK.EQ(N474,N$2:N$564)</f>
        <v>490</v>
      </c>
      <c r="R474">
        <f>_xlfn.RANK.EQ(O474,O$2:O$564)</f>
        <v>403</v>
      </c>
      <c r="S474">
        <f>SUM(P474:R474)</f>
        <v>1393</v>
      </c>
      <c r="T474">
        <f>_xlfn.RANK.EQ(S474,S$2:S$564, 1)</f>
        <v>473</v>
      </c>
    </row>
    <row r="475" spans="1:20" x14ac:dyDescent="0.35">
      <c r="A475" t="s">
        <v>129</v>
      </c>
      <c r="B475">
        <v>4.8499999999999996</v>
      </c>
      <c r="C475">
        <v>0.17</v>
      </c>
      <c r="D475">
        <v>0.34</v>
      </c>
      <c r="E475">
        <v>3.56</v>
      </c>
      <c r="F475">
        <v>16.8</v>
      </c>
      <c r="G475">
        <v>-3</v>
      </c>
      <c r="H475">
        <v>1</v>
      </c>
      <c r="I475">
        <v>5</v>
      </c>
      <c r="J475">
        <v>0</v>
      </c>
      <c r="K475">
        <v>0</v>
      </c>
      <c r="L475">
        <v>2</v>
      </c>
      <c r="M475" s="1">
        <f>C475/$B475-1</f>
        <v>-0.96494845360824744</v>
      </c>
      <c r="N475" s="1">
        <f>D475/$B475-1</f>
        <v>-0.92989690721649487</v>
      </c>
      <c r="O475" s="1">
        <f>E475/$B475-1</f>
        <v>-0.26597938144329891</v>
      </c>
      <c r="P475">
        <f>_xlfn.RANK.EQ(M475,M$2:M$564)</f>
        <v>505</v>
      </c>
      <c r="Q475">
        <f>_xlfn.RANK.EQ(N475,N$2:N$564)</f>
        <v>492</v>
      </c>
      <c r="R475">
        <f>_xlfn.RANK.EQ(O475,O$2:O$564)</f>
        <v>401</v>
      </c>
      <c r="S475">
        <f>SUM(P475:R475)</f>
        <v>1398</v>
      </c>
      <c r="T475">
        <f>_xlfn.RANK.EQ(S475,S$2:S$564, 1)</f>
        <v>474</v>
      </c>
    </row>
    <row r="476" spans="1:20" x14ac:dyDescent="0.35">
      <c r="A476" t="s">
        <v>285</v>
      </c>
      <c r="B476">
        <v>3.9</v>
      </c>
      <c r="C476">
        <v>0.62</v>
      </c>
      <c r="D476">
        <v>0.63</v>
      </c>
      <c r="E476">
        <v>0.87</v>
      </c>
      <c r="F476">
        <v>15.55</v>
      </c>
      <c r="G476">
        <v>-3</v>
      </c>
      <c r="H476">
        <v>1</v>
      </c>
      <c r="I476">
        <v>5</v>
      </c>
      <c r="J476">
        <v>0</v>
      </c>
      <c r="K476">
        <v>0</v>
      </c>
      <c r="L476">
        <v>2</v>
      </c>
      <c r="M476" s="1">
        <f>C476/$B476-1</f>
        <v>-0.84102564102564104</v>
      </c>
      <c r="N476" s="1">
        <f>D476/$B476-1</f>
        <v>-0.83846153846153848</v>
      </c>
      <c r="O476" s="1">
        <f>E476/$B476-1</f>
        <v>-0.77692307692307694</v>
      </c>
      <c r="P476">
        <f>_xlfn.RANK.EQ(M476,M$2:M$564)</f>
        <v>433</v>
      </c>
      <c r="Q476">
        <f>_xlfn.RANK.EQ(N476,N$2:N$564)</f>
        <v>463</v>
      </c>
      <c r="R476">
        <f>_xlfn.RANK.EQ(O476,O$2:O$564)</f>
        <v>507</v>
      </c>
      <c r="S476">
        <f>SUM(P476:R476)</f>
        <v>1403</v>
      </c>
      <c r="T476">
        <f>_xlfn.RANK.EQ(S476,S$2:S$564, 1)</f>
        <v>475</v>
      </c>
    </row>
    <row r="477" spans="1:20" x14ac:dyDescent="0.35">
      <c r="A477" t="s">
        <v>442</v>
      </c>
      <c r="B477">
        <v>169.13</v>
      </c>
      <c r="C477">
        <v>10.09</v>
      </c>
      <c r="D477">
        <v>16.61</v>
      </c>
      <c r="E477">
        <v>105.78</v>
      </c>
      <c r="F477">
        <v>13.42</v>
      </c>
      <c r="G477">
        <v>2</v>
      </c>
      <c r="H477">
        <v>10</v>
      </c>
      <c r="I477">
        <v>17</v>
      </c>
      <c r="J477">
        <v>0</v>
      </c>
      <c r="K477">
        <v>0</v>
      </c>
      <c r="L477">
        <v>2</v>
      </c>
      <c r="M477" s="1">
        <f>C477/$B477-1</f>
        <v>-0.94034174895051148</v>
      </c>
      <c r="N477" s="1">
        <f>D477/$B477-1</f>
        <v>-0.90179152131496476</v>
      </c>
      <c r="O477" s="1">
        <f>E477/$B477-1</f>
        <v>-0.37456394489445988</v>
      </c>
      <c r="P477">
        <f>_xlfn.RANK.EQ(M477,M$2:M$564)</f>
        <v>494</v>
      </c>
      <c r="Q477">
        <f>_xlfn.RANK.EQ(N477,N$2:N$564)</f>
        <v>486</v>
      </c>
      <c r="R477">
        <f>_xlfn.RANK.EQ(O477,O$2:O$564)</f>
        <v>425</v>
      </c>
      <c r="S477">
        <f>SUM(P477:R477)</f>
        <v>1405</v>
      </c>
      <c r="T477">
        <f>_xlfn.RANK.EQ(S477,S$2:S$564, 1)</f>
        <v>476</v>
      </c>
    </row>
    <row r="478" spans="1:20" x14ac:dyDescent="0.35">
      <c r="A478" t="s">
        <v>251</v>
      </c>
      <c r="B478">
        <v>344.93</v>
      </c>
      <c r="C478">
        <v>51.38</v>
      </c>
      <c r="D478">
        <v>51.07</v>
      </c>
      <c r="E478">
        <v>112</v>
      </c>
      <c r="F478">
        <v>12.62</v>
      </c>
      <c r="G478">
        <v>-3</v>
      </c>
      <c r="H478">
        <v>1</v>
      </c>
      <c r="I478">
        <v>5</v>
      </c>
      <c r="J478">
        <v>0</v>
      </c>
      <c r="K478">
        <v>0</v>
      </c>
      <c r="L478">
        <v>2</v>
      </c>
      <c r="M478" s="1">
        <f>C478/$B478-1</f>
        <v>-0.85104224045458499</v>
      </c>
      <c r="N478" s="1">
        <f>D478/$B478-1</f>
        <v>-0.8519409735308614</v>
      </c>
      <c r="O478" s="1">
        <f>E478/$B478-1</f>
        <v>-0.67529643695822339</v>
      </c>
      <c r="P478">
        <f>_xlfn.RANK.EQ(M478,M$2:M$564)</f>
        <v>443</v>
      </c>
      <c r="Q478">
        <f>_xlfn.RANK.EQ(N478,N$2:N$564)</f>
        <v>469</v>
      </c>
      <c r="R478">
        <f>_xlfn.RANK.EQ(O478,O$2:O$564)</f>
        <v>495</v>
      </c>
      <c r="S478">
        <f>SUM(P478:R478)</f>
        <v>1407</v>
      </c>
      <c r="T478">
        <f>_xlfn.RANK.EQ(S478,S$2:S$564, 1)</f>
        <v>477</v>
      </c>
    </row>
    <row r="479" spans="1:20" x14ac:dyDescent="0.35">
      <c r="A479" t="s">
        <v>302</v>
      </c>
      <c r="B479">
        <v>200.4</v>
      </c>
      <c r="C479">
        <v>31.02</v>
      </c>
      <c r="D479">
        <v>31.18</v>
      </c>
      <c r="E479">
        <v>47.29</v>
      </c>
      <c r="F479">
        <v>10.5</v>
      </c>
      <c r="G479">
        <v>-3</v>
      </c>
      <c r="H479">
        <v>1</v>
      </c>
      <c r="I479">
        <v>5</v>
      </c>
      <c r="J479">
        <v>0</v>
      </c>
      <c r="K479">
        <v>0</v>
      </c>
      <c r="L479">
        <v>2</v>
      </c>
      <c r="M479" s="1">
        <f>C479/$B479-1</f>
        <v>-0.84520958083832332</v>
      </c>
      <c r="N479" s="1">
        <f>D479/$B479-1</f>
        <v>-0.84441117764471052</v>
      </c>
      <c r="O479" s="1">
        <f>E479/$B479-1</f>
        <v>-0.76402195608782431</v>
      </c>
      <c r="P479">
        <f>_xlfn.RANK.EQ(M479,M$2:M$564)</f>
        <v>437</v>
      </c>
      <c r="Q479">
        <f>_xlfn.RANK.EQ(N479,N$2:N$564)</f>
        <v>466</v>
      </c>
      <c r="R479">
        <f>_xlfn.RANK.EQ(O479,O$2:O$564)</f>
        <v>505</v>
      </c>
      <c r="S479">
        <f>SUM(P479:R479)</f>
        <v>1408</v>
      </c>
      <c r="T479">
        <f>_xlfn.RANK.EQ(S479,S$2:S$564, 1)</f>
        <v>478</v>
      </c>
    </row>
    <row r="480" spans="1:20" x14ac:dyDescent="0.35">
      <c r="A480" t="s">
        <v>302</v>
      </c>
      <c r="B480">
        <v>200.4</v>
      </c>
      <c r="C480">
        <v>31.02</v>
      </c>
      <c r="D480">
        <v>31.18</v>
      </c>
      <c r="E480">
        <v>47.29</v>
      </c>
      <c r="F480">
        <v>10.5</v>
      </c>
      <c r="G480">
        <v>-3</v>
      </c>
      <c r="H480">
        <v>1</v>
      </c>
      <c r="I480">
        <v>5</v>
      </c>
      <c r="J480">
        <v>0</v>
      </c>
      <c r="K480">
        <v>0</v>
      </c>
      <c r="L480">
        <v>2</v>
      </c>
      <c r="M480" s="1">
        <f>C480/$B480-1</f>
        <v>-0.84520958083832332</v>
      </c>
      <c r="N480" s="1">
        <f>D480/$B480-1</f>
        <v>-0.84441117764471052</v>
      </c>
      <c r="O480" s="1">
        <f>E480/$B480-1</f>
        <v>-0.76402195608782431</v>
      </c>
      <c r="P480">
        <f>_xlfn.RANK.EQ(M480,M$2:M$564)</f>
        <v>437</v>
      </c>
      <c r="Q480">
        <f>_xlfn.RANK.EQ(N480,N$2:N$564)</f>
        <v>466</v>
      </c>
      <c r="R480">
        <f>_xlfn.RANK.EQ(O480,O$2:O$564)</f>
        <v>505</v>
      </c>
      <c r="S480">
        <f>SUM(P480:R480)</f>
        <v>1408</v>
      </c>
      <c r="T480">
        <f>_xlfn.RANK.EQ(S480,S$2:S$564, 1)</f>
        <v>478</v>
      </c>
    </row>
    <row r="481" spans="1:20" x14ac:dyDescent="0.35">
      <c r="A481" t="s">
        <v>216</v>
      </c>
      <c r="B481">
        <v>94.52</v>
      </c>
      <c r="C481">
        <v>8.49</v>
      </c>
      <c r="D481">
        <v>5.82</v>
      </c>
      <c r="E481">
        <v>54.51</v>
      </c>
      <c r="F481">
        <v>15.43</v>
      </c>
      <c r="G481">
        <v>2</v>
      </c>
      <c r="H481">
        <v>8</v>
      </c>
      <c r="I481">
        <v>14</v>
      </c>
      <c r="J481">
        <v>0</v>
      </c>
      <c r="K481">
        <v>1</v>
      </c>
      <c r="L481">
        <v>3</v>
      </c>
      <c r="M481" s="1">
        <f>C481/$B481-1</f>
        <v>-0.91017774016081254</v>
      </c>
      <c r="N481" s="1">
        <f>D481/$B481-1</f>
        <v>-0.93842573000423191</v>
      </c>
      <c r="O481" s="1">
        <f>E481/$B481-1</f>
        <v>-0.42329665679221329</v>
      </c>
      <c r="P481">
        <f>_xlfn.RANK.EQ(M481,M$2:M$564)</f>
        <v>474</v>
      </c>
      <c r="Q481">
        <f>_xlfn.RANK.EQ(N481,N$2:N$564)</f>
        <v>496</v>
      </c>
      <c r="R481">
        <f>_xlfn.RANK.EQ(O481,O$2:O$564)</f>
        <v>439</v>
      </c>
      <c r="S481">
        <f>SUM(P481:R481)</f>
        <v>1409</v>
      </c>
      <c r="T481">
        <f>_xlfn.RANK.EQ(S481,S$2:S$564, 1)</f>
        <v>480</v>
      </c>
    </row>
    <row r="482" spans="1:20" x14ac:dyDescent="0.35">
      <c r="A482" t="s">
        <v>339</v>
      </c>
      <c r="B482">
        <v>99.44</v>
      </c>
      <c r="C482">
        <v>14.96</v>
      </c>
      <c r="D482">
        <v>15.75</v>
      </c>
      <c r="E482">
        <v>25.48</v>
      </c>
      <c r="F482">
        <v>14.01</v>
      </c>
      <c r="G482">
        <v>0</v>
      </c>
      <c r="H482">
        <v>1</v>
      </c>
      <c r="I482">
        <v>5</v>
      </c>
      <c r="J482">
        <v>0</v>
      </c>
      <c r="K482">
        <v>0</v>
      </c>
      <c r="L482">
        <v>2</v>
      </c>
      <c r="M482" s="1">
        <f>C482/$B482-1</f>
        <v>-0.84955752212389379</v>
      </c>
      <c r="N482" s="1">
        <f>D482/$B482-1</f>
        <v>-0.84161303298471446</v>
      </c>
      <c r="O482" s="1">
        <f>E482/$B482-1</f>
        <v>-0.74376508447304901</v>
      </c>
      <c r="P482">
        <f>_xlfn.RANK.EQ(M482,M$2:M$564)</f>
        <v>442</v>
      </c>
      <c r="Q482">
        <f>_xlfn.RANK.EQ(N482,N$2:N$564)</f>
        <v>464</v>
      </c>
      <c r="R482">
        <f>_xlfn.RANK.EQ(O482,O$2:O$564)</f>
        <v>504</v>
      </c>
      <c r="S482">
        <f>SUM(P482:R482)</f>
        <v>1410</v>
      </c>
      <c r="T482">
        <f>_xlfn.RANK.EQ(S482,S$2:S$564, 1)</f>
        <v>481</v>
      </c>
    </row>
    <row r="483" spans="1:20" x14ac:dyDescent="0.35">
      <c r="A483" t="s">
        <v>507</v>
      </c>
      <c r="B483">
        <v>73.349999999999994</v>
      </c>
      <c r="C483">
        <v>10.36</v>
      </c>
      <c r="D483">
        <v>10.26</v>
      </c>
      <c r="E483">
        <v>25.71</v>
      </c>
      <c r="F483">
        <v>13.6</v>
      </c>
      <c r="G483">
        <v>-3</v>
      </c>
      <c r="H483">
        <v>1</v>
      </c>
      <c r="I483">
        <v>5</v>
      </c>
      <c r="J483">
        <v>0</v>
      </c>
      <c r="K483">
        <v>0</v>
      </c>
      <c r="L483">
        <v>2</v>
      </c>
      <c r="M483" s="1">
        <f>C483/$B483-1</f>
        <v>-0.85875937286980231</v>
      </c>
      <c r="N483" s="1">
        <f>D483/$B483-1</f>
        <v>-0.8601226993865031</v>
      </c>
      <c r="O483" s="1">
        <f>E483/$B483-1</f>
        <v>-0.64948875255623717</v>
      </c>
      <c r="P483">
        <f>_xlfn.RANK.EQ(M483,M$2:M$564)</f>
        <v>449</v>
      </c>
      <c r="Q483">
        <f>_xlfn.RANK.EQ(N483,N$2:N$564)</f>
        <v>474</v>
      </c>
      <c r="R483">
        <f>_xlfn.RANK.EQ(O483,O$2:O$564)</f>
        <v>488</v>
      </c>
      <c r="S483">
        <f>SUM(P483:R483)</f>
        <v>1411</v>
      </c>
      <c r="T483">
        <f>_xlfn.RANK.EQ(S483,S$2:S$564, 1)</f>
        <v>482</v>
      </c>
    </row>
    <row r="484" spans="1:20" x14ac:dyDescent="0.35">
      <c r="A484" t="s">
        <v>337</v>
      </c>
      <c r="B484">
        <v>102.33</v>
      </c>
      <c r="C484">
        <v>14.5</v>
      </c>
      <c r="D484">
        <v>14.56</v>
      </c>
      <c r="E484">
        <v>26.7</v>
      </c>
      <c r="F484">
        <v>15.69</v>
      </c>
      <c r="G484">
        <v>1</v>
      </c>
      <c r="H484">
        <v>3</v>
      </c>
      <c r="I484">
        <v>6</v>
      </c>
      <c r="J484">
        <v>0</v>
      </c>
      <c r="K484">
        <v>0</v>
      </c>
      <c r="L484">
        <v>2</v>
      </c>
      <c r="M484" s="1">
        <f>C484/$B484-1</f>
        <v>-0.8583015733411512</v>
      </c>
      <c r="N484" s="1">
        <f>D484/$B484-1</f>
        <v>-0.85771523502394209</v>
      </c>
      <c r="O484" s="1">
        <f>E484/$B484-1</f>
        <v>-0.73907944884198185</v>
      </c>
      <c r="P484">
        <f>_xlfn.RANK.EQ(M484,M$2:M$564)</f>
        <v>448</v>
      </c>
      <c r="Q484">
        <f>_xlfn.RANK.EQ(N484,N$2:N$564)</f>
        <v>471</v>
      </c>
      <c r="R484">
        <f>_xlfn.RANK.EQ(O484,O$2:O$564)</f>
        <v>503</v>
      </c>
      <c r="S484">
        <f>SUM(P484:R484)</f>
        <v>1422</v>
      </c>
      <c r="T484">
        <f>_xlfn.RANK.EQ(S484,S$2:S$564, 1)</f>
        <v>483</v>
      </c>
    </row>
    <row r="485" spans="1:20" x14ac:dyDescent="0.35">
      <c r="A485" t="s">
        <v>332</v>
      </c>
      <c r="B485">
        <v>131.87</v>
      </c>
      <c r="C485">
        <v>14.29</v>
      </c>
      <c r="D485">
        <v>18.21</v>
      </c>
      <c r="E485">
        <v>47.67</v>
      </c>
      <c r="F485">
        <v>12.36</v>
      </c>
      <c r="G485">
        <v>1</v>
      </c>
      <c r="H485">
        <v>6</v>
      </c>
      <c r="I485">
        <v>10</v>
      </c>
      <c r="J485">
        <v>0</v>
      </c>
      <c r="K485">
        <v>0</v>
      </c>
      <c r="L485">
        <v>2</v>
      </c>
      <c r="M485" s="1">
        <f>C485/$B485-1</f>
        <v>-0.89163570182755747</v>
      </c>
      <c r="N485" s="1">
        <f>D485/$B485-1</f>
        <v>-0.86190945628270266</v>
      </c>
      <c r="O485" s="1">
        <f>E485/$B485-1</f>
        <v>-0.63850762114203374</v>
      </c>
      <c r="P485">
        <f>_xlfn.RANK.EQ(M485,M$2:M$564)</f>
        <v>462</v>
      </c>
      <c r="Q485">
        <f>_xlfn.RANK.EQ(N485,N$2:N$564)</f>
        <v>475</v>
      </c>
      <c r="R485">
        <f>_xlfn.RANK.EQ(O485,O$2:O$564)</f>
        <v>486</v>
      </c>
      <c r="S485">
        <f>SUM(P485:R485)</f>
        <v>1423</v>
      </c>
      <c r="T485">
        <f>_xlfn.RANK.EQ(S485,S$2:S$564, 1)</f>
        <v>484</v>
      </c>
    </row>
    <row r="486" spans="1:20" x14ac:dyDescent="0.35">
      <c r="A486" t="s">
        <v>202</v>
      </c>
      <c r="B486">
        <v>90.34</v>
      </c>
      <c r="C486">
        <v>12.7</v>
      </c>
      <c r="D486">
        <v>12.09</v>
      </c>
      <c r="E486">
        <v>27.7</v>
      </c>
      <c r="F486">
        <v>15.37</v>
      </c>
      <c r="G486">
        <v>2</v>
      </c>
      <c r="H486">
        <v>7</v>
      </c>
      <c r="I486">
        <v>12</v>
      </c>
      <c r="J486">
        <v>0</v>
      </c>
      <c r="K486">
        <v>0</v>
      </c>
      <c r="L486">
        <v>2</v>
      </c>
      <c r="M486" s="1">
        <f>C486/$B486-1</f>
        <v>-0.85941996900597739</v>
      </c>
      <c r="N486" s="1">
        <f>D486/$B486-1</f>
        <v>-0.86617223821120215</v>
      </c>
      <c r="O486" s="1">
        <f>E486/$B486-1</f>
        <v>-0.69338056232012402</v>
      </c>
      <c r="P486">
        <f>_xlfn.RANK.EQ(M486,M$2:M$564)</f>
        <v>451</v>
      </c>
      <c r="Q486">
        <f>_xlfn.RANK.EQ(N486,N$2:N$564)</f>
        <v>476</v>
      </c>
      <c r="R486">
        <f>_xlfn.RANK.EQ(O486,O$2:O$564)</f>
        <v>498</v>
      </c>
      <c r="S486">
        <f>SUM(P486:R486)</f>
        <v>1425</v>
      </c>
      <c r="T486">
        <f>_xlfn.RANK.EQ(S486,S$2:S$564, 1)</f>
        <v>485</v>
      </c>
    </row>
    <row r="487" spans="1:20" x14ac:dyDescent="0.35">
      <c r="A487" t="s">
        <v>496</v>
      </c>
      <c r="B487">
        <v>200.39</v>
      </c>
      <c r="C487">
        <v>6.88</v>
      </c>
      <c r="D487">
        <v>10.88</v>
      </c>
      <c r="E487">
        <v>129.5</v>
      </c>
      <c r="F487">
        <v>14.42</v>
      </c>
      <c r="G487">
        <v>1</v>
      </c>
      <c r="H487">
        <v>6</v>
      </c>
      <c r="I487">
        <v>10</v>
      </c>
      <c r="J487">
        <v>0</v>
      </c>
      <c r="K487">
        <v>1</v>
      </c>
      <c r="L487">
        <v>2</v>
      </c>
      <c r="M487" s="1">
        <f>C487/$B487-1</f>
        <v>-0.96566694944857523</v>
      </c>
      <c r="N487" s="1">
        <f>D487/$B487-1</f>
        <v>-0.9457058735465842</v>
      </c>
      <c r="O487" s="1">
        <f>E487/$B487-1</f>
        <v>-0.35376016767303753</v>
      </c>
      <c r="P487">
        <f>_xlfn.RANK.EQ(M487,M$2:M$564)</f>
        <v>506</v>
      </c>
      <c r="Q487">
        <f>_xlfn.RANK.EQ(N487,N$2:N$564)</f>
        <v>501</v>
      </c>
      <c r="R487">
        <f>_xlfn.RANK.EQ(O487,O$2:O$564)</f>
        <v>418</v>
      </c>
      <c r="S487">
        <f>SUM(P487:R487)</f>
        <v>1425</v>
      </c>
      <c r="T487">
        <f>_xlfn.RANK.EQ(S487,S$2:S$564, 1)</f>
        <v>485</v>
      </c>
    </row>
    <row r="488" spans="1:20" x14ac:dyDescent="0.35">
      <c r="A488" t="s">
        <v>377</v>
      </c>
      <c r="B488">
        <v>74.89</v>
      </c>
      <c r="C488">
        <v>9.85</v>
      </c>
      <c r="D488">
        <v>11.02</v>
      </c>
      <c r="E488">
        <v>14.15</v>
      </c>
      <c r="F488">
        <v>16.09</v>
      </c>
      <c r="G488">
        <v>-3</v>
      </c>
      <c r="H488">
        <v>1</v>
      </c>
      <c r="I488">
        <v>5</v>
      </c>
      <c r="J488">
        <v>0</v>
      </c>
      <c r="K488">
        <v>0</v>
      </c>
      <c r="L488">
        <v>2</v>
      </c>
      <c r="M488" s="1">
        <f>C488/$B488-1</f>
        <v>-0.86847376151689148</v>
      </c>
      <c r="N488" s="1">
        <f>D488/$B488-1</f>
        <v>-0.85285084791026844</v>
      </c>
      <c r="O488" s="1">
        <f>E488/$B488-1</f>
        <v>-0.81105621578314868</v>
      </c>
      <c r="P488">
        <f>_xlfn.RANK.EQ(M488,M$2:M$564)</f>
        <v>454</v>
      </c>
      <c r="Q488">
        <f>_xlfn.RANK.EQ(N488,N$2:N$564)</f>
        <v>470</v>
      </c>
      <c r="R488">
        <f>_xlfn.RANK.EQ(O488,O$2:O$564)</f>
        <v>510</v>
      </c>
      <c r="S488">
        <f>SUM(P488:R488)</f>
        <v>1434</v>
      </c>
      <c r="T488">
        <f>_xlfn.RANK.EQ(S488,S$2:S$564, 1)</f>
        <v>487</v>
      </c>
    </row>
    <row r="489" spans="1:20" x14ac:dyDescent="0.35">
      <c r="A489" t="s">
        <v>215</v>
      </c>
      <c r="B489">
        <v>8.49</v>
      </c>
      <c r="C489">
        <v>-1.06</v>
      </c>
      <c r="D489">
        <v>-2.73</v>
      </c>
      <c r="E489">
        <v>7.8</v>
      </c>
      <c r="F489">
        <v>16.71</v>
      </c>
      <c r="G489">
        <v>2</v>
      </c>
      <c r="H489">
        <v>7</v>
      </c>
      <c r="I489">
        <v>13</v>
      </c>
      <c r="J489">
        <v>0</v>
      </c>
      <c r="K489">
        <v>0</v>
      </c>
      <c r="L489">
        <v>2</v>
      </c>
      <c r="M489" s="1">
        <f>C489/$B489-1</f>
        <v>-1.1248527679623086</v>
      </c>
      <c r="N489" s="1">
        <f>D489/$B489-1</f>
        <v>-1.3215547703180213</v>
      </c>
      <c r="O489" s="1">
        <f>E489/$B489-1</f>
        <v>-8.1272084805653733E-2</v>
      </c>
      <c r="P489">
        <f>_xlfn.RANK.EQ(M489,M$2:M$564)</f>
        <v>546</v>
      </c>
      <c r="Q489">
        <f>_xlfn.RANK.EQ(N489,N$2:N$564)</f>
        <v>548</v>
      </c>
      <c r="R489">
        <f>_xlfn.RANK.EQ(O489,O$2:O$564)</f>
        <v>348</v>
      </c>
      <c r="S489">
        <f>SUM(P489:R489)</f>
        <v>1442</v>
      </c>
      <c r="T489">
        <f>_xlfn.RANK.EQ(S489,S$2:S$564, 1)</f>
        <v>488</v>
      </c>
    </row>
    <row r="490" spans="1:20" x14ac:dyDescent="0.35">
      <c r="A490" t="s">
        <v>105</v>
      </c>
      <c r="B490">
        <v>71.64</v>
      </c>
      <c r="C490">
        <v>7.77</v>
      </c>
      <c r="D490">
        <v>7.55</v>
      </c>
      <c r="E490">
        <v>22.34</v>
      </c>
      <c r="F490">
        <v>12.93</v>
      </c>
      <c r="G490">
        <v>-3</v>
      </c>
      <c r="H490">
        <v>1</v>
      </c>
      <c r="I490">
        <v>5</v>
      </c>
      <c r="J490">
        <v>0</v>
      </c>
      <c r="K490">
        <v>0</v>
      </c>
      <c r="L490">
        <v>2</v>
      </c>
      <c r="M490" s="1">
        <f>C490/$B490-1</f>
        <v>-0.89154103852596311</v>
      </c>
      <c r="N490" s="1">
        <f>D490/$B490-1</f>
        <v>-0.89461194863204918</v>
      </c>
      <c r="O490" s="1">
        <f>E490/$B490-1</f>
        <v>-0.68816303740926865</v>
      </c>
      <c r="P490">
        <f>_xlfn.RANK.EQ(M490,M$2:M$564)</f>
        <v>461</v>
      </c>
      <c r="Q490">
        <f>_xlfn.RANK.EQ(N490,N$2:N$564)</f>
        <v>485</v>
      </c>
      <c r="R490">
        <f>_xlfn.RANK.EQ(O490,O$2:O$564)</f>
        <v>497</v>
      </c>
      <c r="S490">
        <f>SUM(P490:R490)</f>
        <v>1443</v>
      </c>
      <c r="T490">
        <f>_xlfn.RANK.EQ(S490,S$2:S$564, 1)</f>
        <v>489</v>
      </c>
    </row>
    <row r="491" spans="1:20" x14ac:dyDescent="0.35">
      <c r="A491" t="s">
        <v>77</v>
      </c>
      <c r="B491">
        <v>158.57</v>
      </c>
      <c r="C491">
        <v>12.03</v>
      </c>
      <c r="D491">
        <v>18.190000000000001</v>
      </c>
      <c r="E491">
        <v>66.16</v>
      </c>
      <c r="F491">
        <v>12.12</v>
      </c>
      <c r="G491">
        <v>1</v>
      </c>
      <c r="H491">
        <v>6</v>
      </c>
      <c r="I491">
        <v>11</v>
      </c>
      <c r="J491">
        <v>0</v>
      </c>
      <c r="K491">
        <v>0</v>
      </c>
      <c r="L491">
        <v>2</v>
      </c>
      <c r="M491" s="1">
        <f>C491/$B491-1</f>
        <v>-0.9241344516617267</v>
      </c>
      <c r="N491" s="1">
        <f>D491/$B491-1</f>
        <v>-0.88528725484013371</v>
      </c>
      <c r="O491" s="1">
        <f>E491/$B491-1</f>
        <v>-0.58277101595509873</v>
      </c>
      <c r="P491">
        <f>_xlfn.RANK.EQ(M491,M$2:M$564)</f>
        <v>481</v>
      </c>
      <c r="Q491">
        <f>_xlfn.RANK.EQ(N491,N$2:N$564)</f>
        <v>483</v>
      </c>
      <c r="R491">
        <f>_xlfn.RANK.EQ(O491,O$2:O$564)</f>
        <v>480</v>
      </c>
      <c r="S491">
        <f>SUM(P491:R491)</f>
        <v>1444</v>
      </c>
      <c r="T491">
        <f>_xlfn.RANK.EQ(S491,S$2:S$564, 1)</f>
        <v>490</v>
      </c>
    </row>
    <row r="492" spans="1:20" x14ac:dyDescent="0.35">
      <c r="A492" t="s">
        <v>313</v>
      </c>
      <c r="B492">
        <v>86.8</v>
      </c>
      <c r="C492">
        <v>11.14</v>
      </c>
      <c r="D492">
        <v>11.39</v>
      </c>
      <c r="E492">
        <v>15.48</v>
      </c>
      <c r="F492">
        <v>12.54</v>
      </c>
      <c r="G492">
        <v>1</v>
      </c>
      <c r="H492">
        <v>5</v>
      </c>
      <c r="I492">
        <v>9</v>
      </c>
      <c r="J492">
        <v>0</v>
      </c>
      <c r="K492">
        <v>0</v>
      </c>
      <c r="L492">
        <v>2</v>
      </c>
      <c r="M492" s="1">
        <f>C492/$B492-1</f>
        <v>-0.87165898617511517</v>
      </c>
      <c r="N492" s="1">
        <f>D492/$B492-1</f>
        <v>-0.86877880184331802</v>
      </c>
      <c r="O492" s="1">
        <f>E492/$B492-1</f>
        <v>-0.82165898617511524</v>
      </c>
      <c r="P492">
        <f>_xlfn.RANK.EQ(M492,M$2:M$564)</f>
        <v>455</v>
      </c>
      <c r="Q492">
        <f>_xlfn.RANK.EQ(N492,N$2:N$564)</f>
        <v>477</v>
      </c>
      <c r="R492">
        <f>_xlfn.RANK.EQ(O492,O$2:O$564)</f>
        <v>515</v>
      </c>
      <c r="S492">
        <f>SUM(P492:R492)</f>
        <v>1447</v>
      </c>
      <c r="T492">
        <f>_xlfn.RANK.EQ(S492,S$2:S$564, 1)</f>
        <v>491</v>
      </c>
    </row>
    <row r="493" spans="1:20" x14ac:dyDescent="0.35">
      <c r="A493" t="s">
        <v>372</v>
      </c>
      <c r="B493">
        <v>77.040000000000006</v>
      </c>
      <c r="C493">
        <v>7.66</v>
      </c>
      <c r="D493">
        <v>9.06</v>
      </c>
      <c r="E493">
        <v>21.22</v>
      </c>
      <c r="F493">
        <v>12.87</v>
      </c>
      <c r="G493">
        <v>0</v>
      </c>
      <c r="H493">
        <v>2</v>
      </c>
      <c r="I493">
        <v>5</v>
      </c>
      <c r="J493">
        <v>0</v>
      </c>
      <c r="K493">
        <v>0</v>
      </c>
      <c r="L493">
        <v>2</v>
      </c>
      <c r="M493" s="1">
        <f>C493/$B493-1</f>
        <v>-0.90057113187954307</v>
      </c>
      <c r="N493" s="1">
        <f>D493/$B493-1</f>
        <v>-0.88239875389408096</v>
      </c>
      <c r="O493" s="1">
        <f>E493/$B493-1</f>
        <v>-0.72455867082035308</v>
      </c>
      <c r="P493">
        <f>_xlfn.RANK.EQ(M493,M$2:M$564)</f>
        <v>469</v>
      </c>
      <c r="Q493">
        <f>_xlfn.RANK.EQ(N493,N$2:N$564)</f>
        <v>482</v>
      </c>
      <c r="R493">
        <f>_xlfn.RANK.EQ(O493,O$2:O$564)</f>
        <v>501</v>
      </c>
      <c r="S493">
        <f>SUM(P493:R493)</f>
        <v>1452</v>
      </c>
      <c r="T493">
        <f>_xlfn.RANK.EQ(S493,S$2:S$564, 1)</f>
        <v>492</v>
      </c>
    </row>
    <row r="494" spans="1:20" x14ac:dyDescent="0.35">
      <c r="A494" t="s">
        <v>308</v>
      </c>
      <c r="B494">
        <v>31.19</v>
      </c>
      <c r="C494">
        <v>1.7</v>
      </c>
      <c r="D494">
        <v>1.01</v>
      </c>
      <c r="E494">
        <v>14.93</v>
      </c>
      <c r="F494">
        <v>14.06</v>
      </c>
      <c r="G494">
        <v>2</v>
      </c>
      <c r="H494">
        <v>10</v>
      </c>
      <c r="I494">
        <v>18</v>
      </c>
      <c r="J494">
        <v>1</v>
      </c>
      <c r="K494">
        <v>2</v>
      </c>
      <c r="L494">
        <v>4</v>
      </c>
      <c r="M494" s="1">
        <f>C494/$B494-1</f>
        <v>-0.94549535107406224</v>
      </c>
      <c r="N494" s="1">
        <f>D494/$B494-1</f>
        <v>-0.96761782622635462</v>
      </c>
      <c r="O494" s="1">
        <f>E494/$B494-1</f>
        <v>-0.52132093619749931</v>
      </c>
      <c r="P494">
        <f>_xlfn.RANK.EQ(M494,M$2:M$564)</f>
        <v>495</v>
      </c>
      <c r="Q494">
        <f>_xlfn.RANK.EQ(N494,N$2:N$564)</f>
        <v>508</v>
      </c>
      <c r="R494">
        <f>_xlfn.RANK.EQ(O494,O$2:O$564)</f>
        <v>463</v>
      </c>
      <c r="S494">
        <f>SUM(P494:R494)</f>
        <v>1466</v>
      </c>
      <c r="T494">
        <f>_xlfn.RANK.EQ(S494,S$2:S$564, 1)</f>
        <v>493</v>
      </c>
    </row>
    <row r="495" spans="1:20" x14ac:dyDescent="0.35">
      <c r="A495" t="s">
        <v>328</v>
      </c>
      <c r="B495">
        <v>19.239999999999998</v>
      </c>
      <c r="C495">
        <v>1.02</v>
      </c>
      <c r="D495">
        <v>-3.76</v>
      </c>
      <c r="E495">
        <v>11.7</v>
      </c>
      <c r="F495">
        <v>19.38</v>
      </c>
      <c r="G495">
        <v>2</v>
      </c>
      <c r="H495">
        <v>10</v>
      </c>
      <c r="I495">
        <v>18</v>
      </c>
      <c r="J495">
        <v>0</v>
      </c>
      <c r="K495">
        <v>1</v>
      </c>
      <c r="L495">
        <v>2</v>
      </c>
      <c r="M495" s="1">
        <f>C495/$B495-1</f>
        <v>-0.94698544698544695</v>
      </c>
      <c r="N495" s="1">
        <f>D495/$B495-1</f>
        <v>-1.1954261954261955</v>
      </c>
      <c r="O495" s="1">
        <f>E495/$B495-1</f>
        <v>-0.39189189189189189</v>
      </c>
      <c r="P495">
        <f>_xlfn.RANK.EQ(M495,M$2:M$564)</f>
        <v>496</v>
      </c>
      <c r="Q495">
        <f>_xlfn.RANK.EQ(N495,N$2:N$564)</f>
        <v>544</v>
      </c>
      <c r="R495">
        <f>_xlfn.RANK.EQ(O495,O$2:O$564)</f>
        <v>430</v>
      </c>
      <c r="S495">
        <f>SUM(P495:R495)</f>
        <v>1470</v>
      </c>
      <c r="T495">
        <f>_xlfn.RANK.EQ(S495,S$2:S$564, 1)</f>
        <v>494</v>
      </c>
    </row>
    <row r="496" spans="1:20" x14ac:dyDescent="0.35">
      <c r="A496" t="s">
        <v>556</v>
      </c>
      <c r="B496">
        <v>79.67</v>
      </c>
      <c r="C496">
        <v>0.7</v>
      </c>
      <c r="D496">
        <v>-1.76</v>
      </c>
      <c r="E496">
        <v>47.16</v>
      </c>
      <c r="F496">
        <v>15.61</v>
      </c>
      <c r="G496">
        <v>2</v>
      </c>
      <c r="H496">
        <v>10</v>
      </c>
      <c r="I496">
        <v>18</v>
      </c>
      <c r="J496">
        <v>0</v>
      </c>
      <c r="K496">
        <v>0</v>
      </c>
      <c r="L496">
        <v>2</v>
      </c>
      <c r="M496" s="1">
        <f>C496/$B496-1</f>
        <v>-0.99121375674657963</v>
      </c>
      <c r="N496" s="1">
        <f>D496/$B496-1</f>
        <v>-1.0220911258943139</v>
      </c>
      <c r="O496" s="1">
        <f>E496/$B496-1</f>
        <v>-0.40805824024099413</v>
      </c>
      <c r="P496">
        <f>_xlfn.RANK.EQ(M496,M$2:M$564)</f>
        <v>516</v>
      </c>
      <c r="Q496">
        <f>_xlfn.RANK.EQ(N496,N$2:N$564)</f>
        <v>522</v>
      </c>
      <c r="R496">
        <f>_xlfn.RANK.EQ(O496,O$2:O$564)</f>
        <v>433</v>
      </c>
      <c r="S496">
        <f>SUM(P496:R496)</f>
        <v>1471</v>
      </c>
      <c r="T496">
        <f>_xlfn.RANK.EQ(S496,S$2:S$564, 1)</f>
        <v>495</v>
      </c>
    </row>
    <row r="497" spans="1:20" x14ac:dyDescent="0.35">
      <c r="A497" t="s">
        <v>214</v>
      </c>
      <c r="B497">
        <v>7.34</v>
      </c>
      <c r="C497">
        <v>0.04</v>
      </c>
      <c r="D497">
        <v>-1.1000000000000001</v>
      </c>
      <c r="E497">
        <v>4.88</v>
      </c>
      <c r="F497">
        <v>16.39</v>
      </c>
      <c r="G497">
        <v>2</v>
      </c>
      <c r="H497">
        <v>7</v>
      </c>
      <c r="I497">
        <v>13</v>
      </c>
      <c r="J497">
        <v>0</v>
      </c>
      <c r="K497">
        <v>0</v>
      </c>
      <c r="L497">
        <v>2</v>
      </c>
      <c r="M497" s="1">
        <f>C497/$B497-1</f>
        <v>-0.99455040871934608</v>
      </c>
      <c r="N497" s="1">
        <f>D497/$B497-1</f>
        <v>-1.1498637602179838</v>
      </c>
      <c r="O497" s="1">
        <f>E497/$B497-1</f>
        <v>-0.33514986376021794</v>
      </c>
      <c r="P497">
        <f>_xlfn.RANK.EQ(M497,M$2:M$564)</f>
        <v>517</v>
      </c>
      <c r="Q497">
        <f>_xlfn.RANK.EQ(N497,N$2:N$564)</f>
        <v>540</v>
      </c>
      <c r="R497">
        <f>_xlfn.RANK.EQ(O497,O$2:O$564)</f>
        <v>414</v>
      </c>
      <c r="S497">
        <f>SUM(P497:R497)</f>
        <v>1471</v>
      </c>
      <c r="T497">
        <f>_xlfn.RANK.EQ(S497,S$2:S$564, 1)</f>
        <v>495</v>
      </c>
    </row>
    <row r="498" spans="1:20" x14ac:dyDescent="0.35">
      <c r="A498" t="s">
        <v>226</v>
      </c>
      <c r="B498">
        <v>245.21</v>
      </c>
      <c r="C498">
        <v>22.69</v>
      </c>
      <c r="D498">
        <v>22.31</v>
      </c>
      <c r="E498">
        <v>45.18</v>
      </c>
      <c r="F498">
        <v>13.3</v>
      </c>
      <c r="G498">
        <v>-3</v>
      </c>
      <c r="H498">
        <v>1</v>
      </c>
      <c r="I498">
        <v>5</v>
      </c>
      <c r="J498">
        <v>0</v>
      </c>
      <c r="K498">
        <v>0</v>
      </c>
      <c r="L498">
        <v>2</v>
      </c>
      <c r="M498" s="1">
        <f>C498/$B498-1</f>
        <v>-0.90746706904286123</v>
      </c>
      <c r="N498" s="1">
        <f>D498/$B498-1</f>
        <v>-0.9090167611435096</v>
      </c>
      <c r="O498" s="1">
        <f>E498/$B498-1</f>
        <v>-0.81574976550711642</v>
      </c>
      <c r="P498">
        <f>_xlfn.RANK.EQ(M498,M$2:M$564)</f>
        <v>472</v>
      </c>
      <c r="Q498">
        <f>_xlfn.RANK.EQ(N498,N$2:N$564)</f>
        <v>488</v>
      </c>
      <c r="R498">
        <f>_xlfn.RANK.EQ(O498,O$2:O$564)</f>
        <v>512</v>
      </c>
      <c r="S498">
        <f>SUM(P498:R498)</f>
        <v>1472</v>
      </c>
      <c r="T498">
        <f>_xlfn.RANK.EQ(S498,S$2:S$564, 1)</f>
        <v>497</v>
      </c>
    </row>
    <row r="499" spans="1:20" x14ac:dyDescent="0.35">
      <c r="A499" t="s">
        <v>494</v>
      </c>
      <c r="B499">
        <v>34.869999999999997</v>
      </c>
      <c r="C499">
        <v>3.05</v>
      </c>
      <c r="D499">
        <v>4.22</v>
      </c>
      <c r="E499">
        <v>4.68</v>
      </c>
      <c r="F499">
        <v>14.73</v>
      </c>
      <c r="G499">
        <v>-3</v>
      </c>
      <c r="H499">
        <v>1</v>
      </c>
      <c r="I499">
        <v>5</v>
      </c>
      <c r="J499">
        <v>0</v>
      </c>
      <c r="K499">
        <v>0</v>
      </c>
      <c r="L499">
        <v>2</v>
      </c>
      <c r="M499" s="1">
        <f>C499/$B499-1</f>
        <v>-0.91253226268999144</v>
      </c>
      <c r="N499" s="1">
        <f>D499/$B499-1</f>
        <v>-0.87897906509893886</v>
      </c>
      <c r="O499" s="1">
        <f>E499/$B499-1</f>
        <v>-0.86578720963579014</v>
      </c>
      <c r="P499">
        <f>_xlfn.RANK.EQ(M499,M$2:M$564)</f>
        <v>477</v>
      </c>
      <c r="Q499">
        <f>_xlfn.RANK.EQ(N499,N$2:N$564)</f>
        <v>480</v>
      </c>
      <c r="R499">
        <f>_xlfn.RANK.EQ(O499,O$2:O$564)</f>
        <v>520</v>
      </c>
      <c r="S499">
        <f>SUM(P499:R499)</f>
        <v>1477</v>
      </c>
      <c r="T499">
        <f>_xlfn.RANK.EQ(S499,S$2:S$564, 1)</f>
        <v>498</v>
      </c>
    </row>
    <row r="500" spans="1:20" x14ac:dyDescent="0.35">
      <c r="A500" t="s">
        <v>321</v>
      </c>
      <c r="B500">
        <v>9.7799999999999994</v>
      </c>
      <c r="C500">
        <v>0.72</v>
      </c>
      <c r="D500">
        <v>0.8</v>
      </c>
      <c r="E500">
        <v>1.84</v>
      </c>
      <c r="F500">
        <v>14.96</v>
      </c>
      <c r="G500">
        <v>1</v>
      </c>
      <c r="H500">
        <v>4</v>
      </c>
      <c r="I500">
        <v>7</v>
      </c>
      <c r="J500">
        <v>0</v>
      </c>
      <c r="K500">
        <v>0</v>
      </c>
      <c r="L500">
        <v>2</v>
      </c>
      <c r="M500" s="1">
        <f>C500/$B500-1</f>
        <v>-0.92638036809815949</v>
      </c>
      <c r="N500" s="1">
        <f>D500/$B500-1</f>
        <v>-0.91820040899795496</v>
      </c>
      <c r="O500" s="1">
        <f>E500/$B500-1</f>
        <v>-0.81186094069529646</v>
      </c>
      <c r="P500">
        <f>_xlfn.RANK.EQ(M500,M$2:M$564)</f>
        <v>483</v>
      </c>
      <c r="Q500">
        <f>_xlfn.RANK.EQ(N500,N$2:N$564)</f>
        <v>489</v>
      </c>
      <c r="R500">
        <f>_xlfn.RANK.EQ(O500,O$2:O$564)</f>
        <v>511</v>
      </c>
      <c r="S500">
        <f>SUM(P500:R500)</f>
        <v>1483</v>
      </c>
      <c r="T500">
        <f>_xlfn.RANK.EQ(S500,S$2:S$564, 1)</f>
        <v>499</v>
      </c>
    </row>
    <row r="501" spans="1:20" x14ac:dyDescent="0.35">
      <c r="A501" t="s">
        <v>369</v>
      </c>
      <c r="B501">
        <v>25.09</v>
      </c>
      <c r="C501">
        <v>1.31</v>
      </c>
      <c r="D501">
        <v>1.72</v>
      </c>
      <c r="E501">
        <v>8.1999999999999993</v>
      </c>
      <c r="F501">
        <v>15.02</v>
      </c>
      <c r="G501">
        <v>-1</v>
      </c>
      <c r="H501">
        <v>1</v>
      </c>
      <c r="I501">
        <v>5</v>
      </c>
      <c r="J501">
        <v>0</v>
      </c>
      <c r="K501">
        <v>0</v>
      </c>
      <c r="L501">
        <v>2</v>
      </c>
      <c r="M501" s="1">
        <f>C501/$B501-1</f>
        <v>-0.94778796333200477</v>
      </c>
      <c r="N501" s="1">
        <f>D501/$B501-1</f>
        <v>-0.93144679155041854</v>
      </c>
      <c r="O501" s="1">
        <f>E501/$B501-1</f>
        <v>-0.67317656436827422</v>
      </c>
      <c r="P501">
        <f>_xlfn.RANK.EQ(M501,M$2:M$564)</f>
        <v>498</v>
      </c>
      <c r="Q501">
        <f>_xlfn.RANK.EQ(N501,N$2:N$564)</f>
        <v>494</v>
      </c>
      <c r="R501">
        <f>_xlfn.RANK.EQ(O501,O$2:O$564)</f>
        <v>493</v>
      </c>
      <c r="S501">
        <f>SUM(P501:R501)</f>
        <v>1485</v>
      </c>
      <c r="T501">
        <f>_xlfn.RANK.EQ(S501,S$2:S$564, 1)</f>
        <v>500</v>
      </c>
    </row>
    <row r="502" spans="1:20" x14ac:dyDescent="0.35">
      <c r="A502" t="s">
        <v>225</v>
      </c>
      <c r="B502">
        <v>257.98</v>
      </c>
      <c r="C502">
        <v>12.31</v>
      </c>
      <c r="D502">
        <v>16.54</v>
      </c>
      <c r="E502">
        <v>88.42</v>
      </c>
      <c r="F502">
        <v>12.63</v>
      </c>
      <c r="G502">
        <v>2</v>
      </c>
      <c r="H502">
        <v>10</v>
      </c>
      <c r="I502">
        <v>18</v>
      </c>
      <c r="J502">
        <v>0</v>
      </c>
      <c r="K502">
        <v>2</v>
      </c>
      <c r="L502">
        <v>3</v>
      </c>
      <c r="M502" s="1">
        <f>C502/$B502-1</f>
        <v>-0.95228312272269167</v>
      </c>
      <c r="N502" s="1">
        <f>D502/$B502-1</f>
        <v>-0.93588650282967678</v>
      </c>
      <c r="O502" s="1">
        <f>E502/$B502-1</f>
        <v>-0.65726025273277</v>
      </c>
      <c r="P502">
        <f>_xlfn.RANK.EQ(M502,M$2:M$564)</f>
        <v>501</v>
      </c>
      <c r="Q502">
        <f>_xlfn.RANK.EQ(N502,N$2:N$564)</f>
        <v>495</v>
      </c>
      <c r="R502">
        <f>_xlfn.RANK.EQ(O502,O$2:O$564)</f>
        <v>489</v>
      </c>
      <c r="S502">
        <f>SUM(P502:R502)</f>
        <v>1485</v>
      </c>
      <c r="T502">
        <f>_xlfn.RANK.EQ(S502,S$2:S$564, 1)</f>
        <v>500</v>
      </c>
    </row>
    <row r="503" spans="1:20" x14ac:dyDescent="0.35">
      <c r="A503" t="s">
        <v>373</v>
      </c>
      <c r="B503">
        <v>174</v>
      </c>
      <c r="C503">
        <v>11.95</v>
      </c>
      <c r="D503">
        <v>12.01</v>
      </c>
      <c r="E503">
        <v>38.33</v>
      </c>
      <c r="F503">
        <v>14.17</v>
      </c>
      <c r="G503">
        <v>-3</v>
      </c>
      <c r="H503">
        <v>1</v>
      </c>
      <c r="I503">
        <v>5</v>
      </c>
      <c r="J503">
        <v>0</v>
      </c>
      <c r="K503">
        <v>1</v>
      </c>
      <c r="L503">
        <v>2</v>
      </c>
      <c r="M503" s="1">
        <f>C503/$B503-1</f>
        <v>-0.93132183908045973</v>
      </c>
      <c r="N503" s="1">
        <f>D503/$B503-1</f>
        <v>-0.93097701149425283</v>
      </c>
      <c r="O503" s="1">
        <f>E503/$B503-1</f>
        <v>-0.77971264367816095</v>
      </c>
      <c r="P503">
        <f>_xlfn.RANK.EQ(M503,M$2:M$564)</f>
        <v>487</v>
      </c>
      <c r="Q503">
        <f>_xlfn.RANK.EQ(N503,N$2:N$564)</f>
        <v>493</v>
      </c>
      <c r="R503">
        <f>_xlfn.RANK.EQ(O503,O$2:O$564)</f>
        <v>508</v>
      </c>
      <c r="S503">
        <f>SUM(P503:R503)</f>
        <v>1488</v>
      </c>
      <c r="T503">
        <f>_xlfn.RANK.EQ(S503,S$2:S$564, 1)</f>
        <v>502</v>
      </c>
    </row>
    <row r="504" spans="1:20" x14ac:dyDescent="0.35">
      <c r="A504" t="s">
        <v>489</v>
      </c>
      <c r="B504">
        <v>83.94</v>
      </c>
      <c r="C504">
        <v>5.41</v>
      </c>
      <c r="D504">
        <v>5.1100000000000003</v>
      </c>
      <c r="E504">
        <v>25.15</v>
      </c>
      <c r="F504">
        <v>13.62</v>
      </c>
      <c r="G504">
        <v>-3</v>
      </c>
      <c r="H504">
        <v>1</v>
      </c>
      <c r="I504">
        <v>5</v>
      </c>
      <c r="J504">
        <v>0</v>
      </c>
      <c r="K504">
        <v>0</v>
      </c>
      <c r="L504">
        <v>2</v>
      </c>
      <c r="M504" s="1">
        <f>C504/$B504-1</f>
        <v>-0.93554920181081724</v>
      </c>
      <c r="N504" s="1">
        <f>D504/$B504-1</f>
        <v>-0.93912318322611388</v>
      </c>
      <c r="O504" s="1">
        <f>E504/$B504-1</f>
        <v>-0.70038122468429831</v>
      </c>
      <c r="P504">
        <f>_xlfn.RANK.EQ(M504,M$2:M$564)</f>
        <v>492</v>
      </c>
      <c r="Q504">
        <f>_xlfn.RANK.EQ(N504,N$2:N$564)</f>
        <v>497</v>
      </c>
      <c r="R504">
        <f>_xlfn.RANK.EQ(O504,O$2:O$564)</f>
        <v>499</v>
      </c>
      <c r="S504">
        <f>SUM(P504:R504)</f>
        <v>1488</v>
      </c>
      <c r="T504">
        <f>_xlfn.RANK.EQ(S504,S$2:S$564, 1)</f>
        <v>502</v>
      </c>
    </row>
    <row r="505" spans="1:20" x14ac:dyDescent="0.35">
      <c r="A505" t="s">
        <v>385</v>
      </c>
      <c r="B505">
        <v>8.01</v>
      </c>
      <c r="C505">
        <v>0.71</v>
      </c>
      <c r="D505">
        <v>0.89</v>
      </c>
      <c r="E505">
        <v>0.6</v>
      </c>
      <c r="F505">
        <v>16.59</v>
      </c>
      <c r="G505">
        <v>-3</v>
      </c>
      <c r="H505">
        <v>1</v>
      </c>
      <c r="I505">
        <v>5</v>
      </c>
      <c r="J505">
        <v>0</v>
      </c>
      <c r="K505">
        <v>0</v>
      </c>
      <c r="L505">
        <v>2</v>
      </c>
      <c r="M505" s="1">
        <f>C505/$B505-1</f>
        <v>-0.91136079900124844</v>
      </c>
      <c r="N505" s="1">
        <f>D505/$B505-1</f>
        <v>-0.88888888888888884</v>
      </c>
      <c r="O505" s="1">
        <f>E505/$B505-1</f>
        <v>-0.92509363295880154</v>
      </c>
      <c r="P505">
        <f>_xlfn.RANK.EQ(M505,M$2:M$564)</f>
        <v>475</v>
      </c>
      <c r="Q505">
        <f>_xlfn.RANK.EQ(N505,N$2:N$564)</f>
        <v>484</v>
      </c>
      <c r="R505">
        <f>_xlfn.RANK.EQ(O505,O$2:O$564)</f>
        <v>531</v>
      </c>
      <c r="S505">
        <f>SUM(P505:R505)</f>
        <v>1490</v>
      </c>
      <c r="T505">
        <f>_xlfn.RANK.EQ(S505,S$2:S$564, 1)</f>
        <v>504</v>
      </c>
    </row>
    <row r="506" spans="1:20" x14ac:dyDescent="0.35">
      <c r="A506" t="s">
        <v>96</v>
      </c>
      <c r="B506">
        <v>625.54999999999995</v>
      </c>
      <c r="C506">
        <v>41.02</v>
      </c>
      <c r="D506">
        <v>60.63</v>
      </c>
      <c r="E506">
        <v>111.32</v>
      </c>
      <c r="F506">
        <v>10.050000000000001</v>
      </c>
      <c r="G506">
        <v>1</v>
      </c>
      <c r="H506">
        <v>2</v>
      </c>
      <c r="I506">
        <v>5</v>
      </c>
      <c r="J506">
        <v>0</v>
      </c>
      <c r="K506">
        <v>2</v>
      </c>
      <c r="L506">
        <v>4</v>
      </c>
      <c r="M506" s="1">
        <f>C506/$B506-1</f>
        <v>-0.93442570537926628</v>
      </c>
      <c r="N506" s="1">
        <f>D506/$B506-1</f>
        <v>-0.90307729198305486</v>
      </c>
      <c r="O506" s="1">
        <f>E506/$B506-1</f>
        <v>-0.82204460075133878</v>
      </c>
      <c r="P506">
        <f>_xlfn.RANK.EQ(M506,M$2:M$564)</f>
        <v>491</v>
      </c>
      <c r="Q506">
        <f>_xlfn.RANK.EQ(N506,N$2:N$564)</f>
        <v>487</v>
      </c>
      <c r="R506">
        <f>_xlfn.RANK.EQ(O506,O$2:O$564)</f>
        <v>516</v>
      </c>
      <c r="S506">
        <f>SUM(P506:R506)</f>
        <v>1494</v>
      </c>
      <c r="T506">
        <f>_xlfn.RANK.EQ(S506,S$2:S$564, 1)</f>
        <v>505</v>
      </c>
    </row>
    <row r="507" spans="1:20" x14ac:dyDescent="0.35">
      <c r="A507" t="s">
        <v>63</v>
      </c>
      <c r="B507">
        <v>395.94</v>
      </c>
      <c r="C507">
        <v>27.61</v>
      </c>
      <c r="D507">
        <v>30.38</v>
      </c>
      <c r="E507">
        <v>51.63</v>
      </c>
      <c r="F507">
        <v>11.36</v>
      </c>
      <c r="G507">
        <v>0</v>
      </c>
      <c r="H507">
        <v>1</v>
      </c>
      <c r="I507">
        <v>5</v>
      </c>
      <c r="J507">
        <v>0</v>
      </c>
      <c r="K507">
        <v>1</v>
      </c>
      <c r="L507">
        <v>2</v>
      </c>
      <c r="M507" s="1">
        <f>C507/$B507-1</f>
        <v>-0.93026721220386932</v>
      </c>
      <c r="N507" s="1">
        <f>D507/$B507-1</f>
        <v>-0.92327120270748098</v>
      </c>
      <c r="O507" s="1">
        <f>E507/$B507-1</f>
        <v>-0.86960145476587358</v>
      </c>
      <c r="P507">
        <f>_xlfn.RANK.EQ(M507,M$2:M$564)</f>
        <v>486</v>
      </c>
      <c r="Q507">
        <f>_xlfn.RANK.EQ(N507,N$2:N$564)</f>
        <v>491</v>
      </c>
      <c r="R507">
        <f>_xlfn.RANK.EQ(O507,O$2:O$564)</f>
        <v>521</v>
      </c>
      <c r="S507">
        <f>SUM(P507:R507)</f>
        <v>1498</v>
      </c>
      <c r="T507">
        <f>_xlfn.RANK.EQ(S507,S$2:S$564, 1)</f>
        <v>506</v>
      </c>
    </row>
    <row r="508" spans="1:20" x14ac:dyDescent="0.35">
      <c r="A508" t="s">
        <v>170</v>
      </c>
      <c r="B508">
        <v>436.1</v>
      </c>
      <c r="C508">
        <v>14.32</v>
      </c>
      <c r="D508">
        <v>18.09</v>
      </c>
      <c r="E508">
        <v>144.35</v>
      </c>
      <c r="F508">
        <v>9.41</v>
      </c>
      <c r="G508">
        <v>2</v>
      </c>
      <c r="H508">
        <v>10</v>
      </c>
      <c r="I508">
        <v>18</v>
      </c>
      <c r="J508">
        <v>1</v>
      </c>
      <c r="K508">
        <v>5</v>
      </c>
      <c r="L508">
        <v>9</v>
      </c>
      <c r="M508" s="1">
        <f>C508/$B508-1</f>
        <v>-0.96716349461132767</v>
      </c>
      <c r="N508" s="1">
        <f>D508/$B508-1</f>
        <v>-0.95851868837422605</v>
      </c>
      <c r="O508" s="1">
        <f>E508/$B508-1</f>
        <v>-0.66899793625315296</v>
      </c>
      <c r="P508">
        <f>_xlfn.RANK.EQ(M508,M$2:M$564)</f>
        <v>507</v>
      </c>
      <c r="Q508">
        <f>_xlfn.RANK.EQ(N508,N$2:N$564)</f>
        <v>505</v>
      </c>
      <c r="R508">
        <f>_xlfn.RANK.EQ(O508,O$2:O$564)</f>
        <v>492</v>
      </c>
      <c r="S508">
        <f>SUM(P508:R508)</f>
        <v>1504</v>
      </c>
      <c r="T508">
        <f>_xlfn.RANK.EQ(S508,S$2:S$564, 1)</f>
        <v>507</v>
      </c>
    </row>
    <row r="509" spans="1:20" x14ac:dyDescent="0.35">
      <c r="A509" t="s">
        <v>124</v>
      </c>
      <c r="B509">
        <v>171.43</v>
      </c>
      <c r="C509">
        <v>3.43</v>
      </c>
      <c r="D509">
        <v>7.14</v>
      </c>
      <c r="E509">
        <v>55.83</v>
      </c>
      <c r="F509">
        <v>6.04</v>
      </c>
      <c r="G509">
        <v>2</v>
      </c>
      <c r="H509">
        <v>10</v>
      </c>
      <c r="I509">
        <v>18</v>
      </c>
      <c r="J509">
        <v>1</v>
      </c>
      <c r="K509">
        <v>5</v>
      </c>
      <c r="L509">
        <v>9</v>
      </c>
      <c r="M509" s="1">
        <f>C509/$B509-1</f>
        <v>-0.97999183340138829</v>
      </c>
      <c r="N509" s="1">
        <f>D509/$B509-1</f>
        <v>-0.95835034708044098</v>
      </c>
      <c r="O509" s="1">
        <f>E509/$B509-1</f>
        <v>-0.67432771393571722</v>
      </c>
      <c r="P509">
        <f>_xlfn.RANK.EQ(M509,M$2:M$564)</f>
        <v>511</v>
      </c>
      <c r="Q509">
        <f>_xlfn.RANK.EQ(N509,N$2:N$564)</f>
        <v>504</v>
      </c>
      <c r="R509">
        <f>_xlfn.RANK.EQ(O509,O$2:O$564)</f>
        <v>494</v>
      </c>
      <c r="S509">
        <f>SUM(P509:R509)</f>
        <v>1509</v>
      </c>
      <c r="T509">
        <f>_xlfn.RANK.EQ(S509,S$2:S$564, 1)</f>
        <v>508</v>
      </c>
    </row>
    <row r="510" spans="1:20" x14ac:dyDescent="0.35">
      <c r="A510" t="s">
        <v>336</v>
      </c>
      <c r="B510">
        <v>330.1</v>
      </c>
      <c r="C510">
        <v>17.260000000000002</v>
      </c>
      <c r="D510">
        <v>9.6300000000000008</v>
      </c>
      <c r="E510">
        <v>59.96</v>
      </c>
      <c r="F510">
        <v>16.100000000000001</v>
      </c>
      <c r="G510">
        <v>2</v>
      </c>
      <c r="H510">
        <v>9</v>
      </c>
      <c r="I510">
        <v>15</v>
      </c>
      <c r="J510">
        <v>0</v>
      </c>
      <c r="K510">
        <v>1</v>
      </c>
      <c r="L510">
        <v>2</v>
      </c>
      <c r="M510" s="1">
        <f>C510/$B510-1</f>
        <v>-0.94771281429869736</v>
      </c>
      <c r="N510" s="1">
        <f>D510/$B510-1</f>
        <v>-0.97082702211451077</v>
      </c>
      <c r="O510" s="1">
        <f>E510/$B510-1</f>
        <v>-0.81835807331111787</v>
      </c>
      <c r="P510">
        <f>_xlfn.RANK.EQ(M510,M$2:M$564)</f>
        <v>497</v>
      </c>
      <c r="Q510">
        <f>_xlfn.RANK.EQ(N510,N$2:N$564)</f>
        <v>509</v>
      </c>
      <c r="R510">
        <f>_xlfn.RANK.EQ(O510,O$2:O$564)</f>
        <v>514</v>
      </c>
      <c r="S510">
        <f>SUM(P510:R510)</f>
        <v>1520</v>
      </c>
      <c r="T510">
        <f>_xlfn.RANK.EQ(S510,S$2:S$564, 1)</f>
        <v>509</v>
      </c>
    </row>
    <row r="511" spans="1:20" x14ac:dyDescent="0.35">
      <c r="A511" t="s">
        <v>474</v>
      </c>
      <c r="B511">
        <v>173.5</v>
      </c>
      <c r="C511">
        <v>8.7100000000000009</v>
      </c>
      <c r="D511">
        <v>9.4499999999999993</v>
      </c>
      <c r="E511">
        <v>20.47</v>
      </c>
      <c r="F511">
        <v>14.3</v>
      </c>
      <c r="G511">
        <v>0</v>
      </c>
      <c r="H511">
        <v>1</v>
      </c>
      <c r="I511">
        <v>5</v>
      </c>
      <c r="J511">
        <v>0</v>
      </c>
      <c r="K511">
        <v>0</v>
      </c>
      <c r="L511">
        <v>2</v>
      </c>
      <c r="M511" s="1">
        <f>C511/$B511-1</f>
        <v>-0.94979827089337177</v>
      </c>
      <c r="N511" s="1">
        <f>D511/$B511-1</f>
        <v>-0.94553314121037468</v>
      </c>
      <c r="O511" s="1">
        <f>E511/$B511-1</f>
        <v>-0.88201729106628246</v>
      </c>
      <c r="P511">
        <f>_xlfn.RANK.EQ(M511,M$2:M$564)</f>
        <v>499</v>
      </c>
      <c r="Q511">
        <f>_xlfn.RANK.EQ(N511,N$2:N$564)</f>
        <v>500</v>
      </c>
      <c r="R511">
        <f>_xlfn.RANK.EQ(O511,O$2:O$564)</f>
        <v>522</v>
      </c>
      <c r="S511">
        <f>SUM(P511:R511)</f>
        <v>1521</v>
      </c>
      <c r="T511">
        <f>_xlfn.RANK.EQ(S511,S$2:S$564, 1)</f>
        <v>510</v>
      </c>
    </row>
    <row r="512" spans="1:20" x14ac:dyDescent="0.35">
      <c r="A512" t="s">
        <v>544</v>
      </c>
      <c r="B512">
        <v>69.73</v>
      </c>
      <c r="C512">
        <v>2.84</v>
      </c>
      <c r="D512">
        <v>3.45</v>
      </c>
      <c r="E512">
        <v>11.61</v>
      </c>
      <c r="F512">
        <v>14.91</v>
      </c>
      <c r="G512">
        <v>1</v>
      </c>
      <c r="H512">
        <v>4</v>
      </c>
      <c r="I512">
        <v>8</v>
      </c>
      <c r="J512">
        <v>0</v>
      </c>
      <c r="K512">
        <v>0</v>
      </c>
      <c r="L512">
        <v>2</v>
      </c>
      <c r="M512" s="1">
        <f>C512/$B512-1</f>
        <v>-0.9592714756919547</v>
      </c>
      <c r="N512" s="1">
        <f>D512/$B512-1</f>
        <v>-0.95052344758353646</v>
      </c>
      <c r="O512" s="1">
        <f>E512/$B512-1</f>
        <v>-0.83350064534633583</v>
      </c>
      <c r="P512">
        <f>_xlfn.RANK.EQ(M512,M$2:M$564)</f>
        <v>502</v>
      </c>
      <c r="Q512">
        <f>_xlfn.RANK.EQ(N512,N$2:N$564)</f>
        <v>502</v>
      </c>
      <c r="R512">
        <f>_xlfn.RANK.EQ(O512,O$2:O$564)</f>
        <v>517</v>
      </c>
      <c r="S512">
        <f>SUM(P512:R512)</f>
        <v>1521</v>
      </c>
      <c r="T512">
        <f>_xlfn.RANK.EQ(S512,S$2:S$564, 1)</f>
        <v>510</v>
      </c>
    </row>
    <row r="513" spans="1:20" x14ac:dyDescent="0.35">
      <c r="A513" t="s">
        <v>341</v>
      </c>
      <c r="B513">
        <v>83.08</v>
      </c>
      <c r="C513">
        <v>5.64</v>
      </c>
      <c r="D513">
        <v>4.91</v>
      </c>
      <c r="E513">
        <v>2.35</v>
      </c>
      <c r="F513">
        <v>14.35</v>
      </c>
      <c r="G513">
        <v>2</v>
      </c>
      <c r="H513">
        <v>10</v>
      </c>
      <c r="I513">
        <v>18</v>
      </c>
      <c r="J513">
        <v>0</v>
      </c>
      <c r="K513">
        <v>0</v>
      </c>
      <c r="L513">
        <v>2</v>
      </c>
      <c r="M513" s="1">
        <f>C513/$B513-1</f>
        <v>-0.93211362542128073</v>
      </c>
      <c r="N513" s="1">
        <f>D513/$B513-1</f>
        <v>-0.94090033702455467</v>
      </c>
      <c r="O513" s="1">
        <f>E513/$B513-1</f>
        <v>-0.97171401059220031</v>
      </c>
      <c r="P513">
        <f>_xlfn.RANK.EQ(M513,M$2:M$564)</f>
        <v>488</v>
      </c>
      <c r="Q513">
        <f>_xlfn.RANK.EQ(N513,N$2:N$564)</f>
        <v>499</v>
      </c>
      <c r="R513">
        <f>_xlfn.RANK.EQ(O513,O$2:O$564)</f>
        <v>539</v>
      </c>
      <c r="S513">
        <f>SUM(P513:R513)</f>
        <v>1526</v>
      </c>
      <c r="T513">
        <f>_xlfn.RANK.EQ(S513,S$2:S$564, 1)</f>
        <v>512</v>
      </c>
    </row>
    <row r="514" spans="1:20" x14ac:dyDescent="0.35">
      <c r="A514" t="s">
        <v>140</v>
      </c>
      <c r="B514">
        <v>38.21</v>
      </c>
      <c r="C514">
        <v>2.57</v>
      </c>
      <c r="D514">
        <v>2.2799999999999998</v>
      </c>
      <c r="E514">
        <v>1.04</v>
      </c>
      <c r="F514">
        <v>15.5</v>
      </c>
      <c r="G514">
        <v>1</v>
      </c>
      <c r="H514">
        <v>2</v>
      </c>
      <c r="I514">
        <v>5</v>
      </c>
      <c r="J514">
        <v>0</v>
      </c>
      <c r="K514">
        <v>0</v>
      </c>
      <c r="L514">
        <v>2</v>
      </c>
      <c r="M514" s="1">
        <f>C514/$B514-1</f>
        <v>-0.93274012038733312</v>
      </c>
      <c r="N514" s="1">
        <f>D514/$B514-1</f>
        <v>-0.94032975660821772</v>
      </c>
      <c r="O514" s="1">
        <f>E514/$B514-1</f>
        <v>-0.97278199424234491</v>
      </c>
      <c r="P514">
        <f>_xlfn.RANK.EQ(M514,M$2:M$564)</f>
        <v>489</v>
      </c>
      <c r="Q514">
        <f>_xlfn.RANK.EQ(N514,N$2:N$564)</f>
        <v>498</v>
      </c>
      <c r="R514">
        <f>_xlfn.RANK.EQ(O514,O$2:O$564)</f>
        <v>540</v>
      </c>
      <c r="S514">
        <f>SUM(P514:R514)</f>
        <v>1527</v>
      </c>
      <c r="T514">
        <f>_xlfn.RANK.EQ(S514,S$2:S$564, 1)</f>
        <v>513</v>
      </c>
    </row>
    <row r="515" spans="1:20" x14ac:dyDescent="0.35">
      <c r="A515" t="s">
        <v>247</v>
      </c>
      <c r="B515">
        <v>756.13</v>
      </c>
      <c r="C515">
        <v>17.64</v>
      </c>
      <c r="D515">
        <v>24.92</v>
      </c>
      <c r="E515">
        <v>138.55000000000001</v>
      </c>
      <c r="F515">
        <v>11.97</v>
      </c>
      <c r="G515">
        <v>2</v>
      </c>
      <c r="H515">
        <v>10</v>
      </c>
      <c r="I515">
        <v>18</v>
      </c>
      <c r="J515">
        <v>0</v>
      </c>
      <c r="K515">
        <v>0</v>
      </c>
      <c r="L515">
        <v>2</v>
      </c>
      <c r="M515" s="1">
        <f>C515/$B515-1</f>
        <v>-0.97667067832251064</v>
      </c>
      <c r="N515" s="1">
        <f>D515/$B515-1</f>
        <v>-0.96704270429688011</v>
      </c>
      <c r="O515" s="1">
        <f>E515/$B515-1</f>
        <v>-0.81676431301495778</v>
      </c>
      <c r="P515">
        <f>_xlfn.RANK.EQ(M515,M$2:M$564)</f>
        <v>509</v>
      </c>
      <c r="Q515">
        <f>_xlfn.RANK.EQ(N515,N$2:N$564)</f>
        <v>507</v>
      </c>
      <c r="R515">
        <f>_xlfn.RANK.EQ(O515,O$2:O$564)</f>
        <v>513</v>
      </c>
      <c r="S515">
        <f>SUM(P515:R515)</f>
        <v>1529</v>
      </c>
      <c r="T515">
        <f>_xlfn.RANK.EQ(S515,S$2:S$564, 1)</f>
        <v>514</v>
      </c>
    </row>
    <row r="516" spans="1:20" x14ac:dyDescent="0.35">
      <c r="A516" t="s">
        <v>354</v>
      </c>
      <c r="B516">
        <v>11.66</v>
      </c>
      <c r="C516">
        <v>0.46</v>
      </c>
      <c r="D516">
        <v>0.49</v>
      </c>
      <c r="E516">
        <v>1.1399999999999999</v>
      </c>
      <c r="F516">
        <v>13.74</v>
      </c>
      <c r="G516">
        <v>-2</v>
      </c>
      <c r="H516">
        <v>1</v>
      </c>
      <c r="I516">
        <v>5</v>
      </c>
      <c r="J516">
        <v>0</v>
      </c>
      <c r="K516">
        <v>0</v>
      </c>
      <c r="L516">
        <v>2</v>
      </c>
      <c r="M516" s="1">
        <f>C516/$B516-1</f>
        <v>-0.96054888507718694</v>
      </c>
      <c r="N516" s="1">
        <f>D516/$B516-1</f>
        <v>-0.95797598627787306</v>
      </c>
      <c r="O516" s="1">
        <f>E516/$B516-1</f>
        <v>-0.902229845626072</v>
      </c>
      <c r="P516">
        <f>_xlfn.RANK.EQ(M516,M$2:M$564)</f>
        <v>503</v>
      </c>
      <c r="Q516">
        <f>_xlfn.RANK.EQ(N516,N$2:N$564)</f>
        <v>503</v>
      </c>
      <c r="R516">
        <f>_xlfn.RANK.EQ(O516,O$2:O$564)</f>
        <v>527</v>
      </c>
      <c r="S516">
        <f>SUM(P516:R516)</f>
        <v>1533</v>
      </c>
      <c r="T516">
        <f>_xlfn.RANK.EQ(S516,S$2:S$564, 1)</f>
        <v>515</v>
      </c>
    </row>
    <row r="517" spans="1:20" x14ac:dyDescent="0.35">
      <c r="A517" t="s">
        <v>281</v>
      </c>
      <c r="B517">
        <v>5.39</v>
      </c>
      <c r="C517">
        <v>-3.29</v>
      </c>
      <c r="D517">
        <v>-2.8</v>
      </c>
      <c r="E517">
        <v>3.41</v>
      </c>
      <c r="F517">
        <v>17.14</v>
      </c>
      <c r="G517">
        <v>-3</v>
      </c>
      <c r="H517">
        <v>1</v>
      </c>
      <c r="I517">
        <v>5</v>
      </c>
      <c r="J517">
        <v>0</v>
      </c>
      <c r="K517">
        <v>0</v>
      </c>
      <c r="L517">
        <v>2</v>
      </c>
      <c r="M517" s="1">
        <f>C517/$B517-1</f>
        <v>-1.6103896103896105</v>
      </c>
      <c r="N517" s="1">
        <f>D517/$B517-1</f>
        <v>-1.5194805194805194</v>
      </c>
      <c r="O517" s="1">
        <f>E517/$B517-1</f>
        <v>-0.36734693877551017</v>
      </c>
      <c r="P517">
        <f>_xlfn.RANK.EQ(M517,M$2:M$564)</f>
        <v>557</v>
      </c>
      <c r="Q517">
        <f>_xlfn.RANK.EQ(N517,N$2:N$564)</f>
        <v>554</v>
      </c>
      <c r="R517">
        <f>_xlfn.RANK.EQ(O517,O$2:O$564)</f>
        <v>422</v>
      </c>
      <c r="S517">
        <f>SUM(P517:R517)</f>
        <v>1533</v>
      </c>
      <c r="T517">
        <f>_xlfn.RANK.EQ(S517,S$2:S$564, 1)</f>
        <v>515</v>
      </c>
    </row>
    <row r="518" spans="1:20" x14ac:dyDescent="0.35">
      <c r="A518" t="s">
        <v>528</v>
      </c>
      <c r="B518">
        <v>324.33999999999997</v>
      </c>
      <c r="C518">
        <v>1.5</v>
      </c>
      <c r="D518">
        <v>-13.85</v>
      </c>
      <c r="E518">
        <v>110.4</v>
      </c>
      <c r="F518">
        <v>15.77</v>
      </c>
      <c r="G518">
        <v>2</v>
      </c>
      <c r="H518">
        <v>10</v>
      </c>
      <c r="I518">
        <v>18</v>
      </c>
      <c r="J518">
        <v>0</v>
      </c>
      <c r="K518">
        <v>0</v>
      </c>
      <c r="L518">
        <v>2</v>
      </c>
      <c r="M518" s="1">
        <f>C518/$B518-1</f>
        <v>-0.99537522353086272</v>
      </c>
      <c r="N518" s="1">
        <f>D518/$B518-1</f>
        <v>-1.0427021027317014</v>
      </c>
      <c r="O518" s="1">
        <f>E518/$B518-1</f>
        <v>-0.65961645187149287</v>
      </c>
      <c r="P518">
        <f>_xlfn.RANK.EQ(M518,M$2:M$564)</f>
        <v>518</v>
      </c>
      <c r="Q518">
        <f>_xlfn.RANK.EQ(N518,N$2:N$564)</f>
        <v>529</v>
      </c>
      <c r="R518">
        <f>_xlfn.RANK.EQ(O518,O$2:O$564)</f>
        <v>490</v>
      </c>
      <c r="S518">
        <f>SUM(P518:R518)</f>
        <v>1537</v>
      </c>
      <c r="T518">
        <f>_xlfn.RANK.EQ(S518,S$2:S$564, 1)</f>
        <v>517</v>
      </c>
    </row>
    <row r="519" spans="1:20" x14ac:dyDescent="0.35">
      <c r="A519" t="s">
        <v>531</v>
      </c>
      <c r="B519">
        <v>64.7</v>
      </c>
      <c r="C519">
        <v>2.42</v>
      </c>
      <c r="D519">
        <v>2.5099999999999998</v>
      </c>
      <c r="E519">
        <v>5.4</v>
      </c>
      <c r="F519">
        <v>15.92</v>
      </c>
      <c r="G519">
        <v>-3</v>
      </c>
      <c r="H519">
        <v>1</v>
      </c>
      <c r="I519">
        <v>5</v>
      </c>
      <c r="J519">
        <v>0</v>
      </c>
      <c r="K519">
        <v>0</v>
      </c>
      <c r="L519">
        <v>2</v>
      </c>
      <c r="M519" s="1">
        <f>C519/$B519-1</f>
        <v>-0.96259659969088096</v>
      </c>
      <c r="N519" s="1">
        <f>D519/$B519-1</f>
        <v>-0.96120556414219471</v>
      </c>
      <c r="O519" s="1">
        <f>E519/$B519-1</f>
        <v>-0.91653786707882534</v>
      </c>
      <c r="P519">
        <f>_xlfn.RANK.EQ(M519,M$2:M$564)</f>
        <v>504</v>
      </c>
      <c r="Q519">
        <f>_xlfn.RANK.EQ(N519,N$2:N$564)</f>
        <v>506</v>
      </c>
      <c r="R519">
        <f>_xlfn.RANK.EQ(O519,O$2:O$564)</f>
        <v>528</v>
      </c>
      <c r="S519">
        <f>SUM(P519:R519)</f>
        <v>1538</v>
      </c>
      <c r="T519">
        <f>_xlfn.RANK.EQ(S519,S$2:S$564, 1)</f>
        <v>518</v>
      </c>
    </row>
    <row r="520" spans="1:20" x14ac:dyDescent="0.35">
      <c r="A520" t="s">
        <v>299</v>
      </c>
      <c r="B520">
        <v>16.670000000000002</v>
      </c>
      <c r="C520">
        <v>0.33</v>
      </c>
      <c r="D520">
        <v>0.38</v>
      </c>
      <c r="E520">
        <v>1.73</v>
      </c>
      <c r="F520">
        <v>17.61</v>
      </c>
      <c r="G520">
        <v>-3</v>
      </c>
      <c r="H520">
        <v>1</v>
      </c>
      <c r="I520">
        <v>5</v>
      </c>
      <c r="J520">
        <v>0</v>
      </c>
      <c r="K520">
        <v>0</v>
      </c>
      <c r="L520">
        <v>2</v>
      </c>
      <c r="M520" s="1">
        <f>C520/$B520-1</f>
        <v>-0.98020395920815839</v>
      </c>
      <c r="N520" s="1">
        <f>D520/$B520-1</f>
        <v>-0.97720455908818238</v>
      </c>
      <c r="O520" s="1">
        <f>E520/$B520-1</f>
        <v>-0.89622075584883021</v>
      </c>
      <c r="P520">
        <f>_xlfn.RANK.EQ(M520,M$2:M$564)</f>
        <v>512</v>
      </c>
      <c r="Q520">
        <f>_xlfn.RANK.EQ(N520,N$2:N$564)</f>
        <v>510</v>
      </c>
      <c r="R520">
        <f>_xlfn.RANK.EQ(O520,O$2:O$564)</f>
        <v>525</v>
      </c>
      <c r="S520">
        <f>SUM(P520:R520)</f>
        <v>1547</v>
      </c>
      <c r="T520">
        <f>_xlfn.RANK.EQ(S520,S$2:S$564, 1)</f>
        <v>519</v>
      </c>
    </row>
    <row r="521" spans="1:20" x14ac:dyDescent="0.35">
      <c r="A521" t="s">
        <v>114</v>
      </c>
      <c r="B521">
        <v>43.98</v>
      </c>
      <c r="C521">
        <v>-3.63</v>
      </c>
      <c r="D521">
        <v>-7.68</v>
      </c>
      <c r="E521">
        <v>20.55</v>
      </c>
      <c r="F521">
        <v>15.77</v>
      </c>
      <c r="G521">
        <v>2</v>
      </c>
      <c r="H521">
        <v>10</v>
      </c>
      <c r="I521">
        <v>18</v>
      </c>
      <c r="J521">
        <v>0</v>
      </c>
      <c r="K521">
        <v>1</v>
      </c>
      <c r="L521">
        <v>2</v>
      </c>
      <c r="M521" s="1">
        <f>C521/$B521-1</f>
        <v>-1.0825375170532059</v>
      </c>
      <c r="N521" s="1">
        <f>D521/$B521-1</f>
        <v>-1.17462482946794</v>
      </c>
      <c r="O521" s="1">
        <f>E521/$B521-1</f>
        <v>-0.53274215552523874</v>
      </c>
      <c r="P521">
        <f>_xlfn.RANK.EQ(M521,M$2:M$564)</f>
        <v>540</v>
      </c>
      <c r="Q521">
        <f>_xlfn.RANK.EQ(N521,N$2:N$564)</f>
        <v>543</v>
      </c>
      <c r="R521">
        <f>_xlfn.RANK.EQ(O521,O$2:O$564)</f>
        <v>468</v>
      </c>
      <c r="S521">
        <f>SUM(P521:R521)</f>
        <v>1551</v>
      </c>
      <c r="T521">
        <f>_xlfn.RANK.EQ(S521,S$2:S$564, 1)</f>
        <v>520</v>
      </c>
    </row>
    <row r="522" spans="1:20" x14ac:dyDescent="0.35">
      <c r="A522" t="s">
        <v>455</v>
      </c>
      <c r="B522">
        <v>221.32</v>
      </c>
      <c r="C522">
        <v>3.27</v>
      </c>
      <c r="D522">
        <v>1.99</v>
      </c>
      <c r="E522">
        <v>17.239999999999998</v>
      </c>
      <c r="F522">
        <v>14</v>
      </c>
      <c r="G522">
        <v>2</v>
      </c>
      <c r="H522">
        <v>10</v>
      </c>
      <c r="I522">
        <v>18</v>
      </c>
      <c r="J522">
        <v>0</v>
      </c>
      <c r="K522">
        <v>2</v>
      </c>
      <c r="L522">
        <v>3</v>
      </c>
      <c r="M522" s="1">
        <f>C522/$B522-1</f>
        <v>-0.98522501355503345</v>
      </c>
      <c r="N522" s="1">
        <f>D522/$B522-1</f>
        <v>-0.99100849448761974</v>
      </c>
      <c r="O522" s="1">
        <f>E522/$B522-1</f>
        <v>-0.92210374118922833</v>
      </c>
      <c r="P522">
        <f>_xlfn.RANK.EQ(M522,M$2:M$564)</f>
        <v>514</v>
      </c>
      <c r="Q522">
        <f>_xlfn.RANK.EQ(N522,N$2:N$564)</f>
        <v>514</v>
      </c>
      <c r="R522">
        <f>_xlfn.RANK.EQ(O522,O$2:O$564)</f>
        <v>529</v>
      </c>
      <c r="S522">
        <f>SUM(P522:R522)</f>
        <v>1557</v>
      </c>
      <c r="T522">
        <f>_xlfn.RANK.EQ(S522,S$2:S$564, 1)</f>
        <v>521</v>
      </c>
    </row>
    <row r="523" spans="1:20" x14ac:dyDescent="0.35">
      <c r="A523" t="s">
        <v>421</v>
      </c>
      <c r="B523">
        <v>111.96</v>
      </c>
      <c r="C523">
        <v>2.42</v>
      </c>
      <c r="D523">
        <v>2.2999999999999998</v>
      </c>
      <c r="E523">
        <v>3.73</v>
      </c>
      <c r="F523">
        <v>11.22</v>
      </c>
      <c r="G523">
        <v>2</v>
      </c>
      <c r="H523">
        <v>10</v>
      </c>
      <c r="I523">
        <v>18</v>
      </c>
      <c r="J523">
        <v>0</v>
      </c>
      <c r="K523">
        <v>1</v>
      </c>
      <c r="L523">
        <v>2</v>
      </c>
      <c r="M523" s="1">
        <f>C523/$B523-1</f>
        <v>-0.97838513754912471</v>
      </c>
      <c r="N523" s="1">
        <f>D523/$B523-1</f>
        <v>-0.97945694891032509</v>
      </c>
      <c r="O523" s="1">
        <f>E523/$B523-1</f>
        <v>-0.9666845301893533</v>
      </c>
      <c r="P523">
        <f>_xlfn.RANK.EQ(M523,M$2:M$564)</f>
        <v>510</v>
      </c>
      <c r="Q523">
        <f>_xlfn.RANK.EQ(N523,N$2:N$564)</f>
        <v>512</v>
      </c>
      <c r="R523">
        <f>_xlfn.RANK.EQ(O523,O$2:O$564)</f>
        <v>536</v>
      </c>
      <c r="S523">
        <f>SUM(P523:R523)</f>
        <v>1558</v>
      </c>
      <c r="T523">
        <f>_xlfn.RANK.EQ(S523,S$2:S$564, 1)</f>
        <v>522</v>
      </c>
    </row>
    <row r="524" spans="1:20" x14ac:dyDescent="0.35">
      <c r="A524" t="s">
        <v>266</v>
      </c>
      <c r="B524">
        <v>4.3899999999999997</v>
      </c>
      <c r="C524">
        <v>-8.1300000000000008</v>
      </c>
      <c r="D524">
        <v>-15.13</v>
      </c>
      <c r="E524">
        <v>2.58</v>
      </c>
      <c r="F524">
        <v>9.09</v>
      </c>
      <c r="G524">
        <v>2</v>
      </c>
      <c r="H524">
        <v>10</v>
      </c>
      <c r="I524">
        <v>18</v>
      </c>
      <c r="J524">
        <v>1</v>
      </c>
      <c r="K524">
        <v>5</v>
      </c>
      <c r="L524">
        <v>9</v>
      </c>
      <c r="M524" s="1">
        <f>C524/$B524-1</f>
        <v>-2.8519362186788157</v>
      </c>
      <c r="N524" s="1">
        <f>D524/$B524-1</f>
        <v>-4.4464692482915726</v>
      </c>
      <c r="O524" s="1">
        <f>E524/$B524-1</f>
        <v>-0.41230068337129833</v>
      </c>
      <c r="P524">
        <f>_xlfn.RANK.EQ(M524,M$2:M$564)</f>
        <v>561</v>
      </c>
      <c r="Q524">
        <f>_xlfn.RANK.EQ(N524,N$2:N$564)</f>
        <v>563</v>
      </c>
      <c r="R524">
        <f>_xlfn.RANK.EQ(O524,O$2:O$564)</f>
        <v>434</v>
      </c>
      <c r="S524">
        <f>SUM(P524:R524)</f>
        <v>1558</v>
      </c>
      <c r="T524">
        <f>_xlfn.RANK.EQ(S524,S$2:S$564, 1)</f>
        <v>522</v>
      </c>
    </row>
    <row r="525" spans="1:20" x14ac:dyDescent="0.35">
      <c r="A525" t="s">
        <v>134</v>
      </c>
      <c r="B525">
        <v>221.15</v>
      </c>
      <c r="C525">
        <v>-3.98</v>
      </c>
      <c r="D525">
        <v>-18.059999999999999</v>
      </c>
      <c r="E525">
        <v>69.38</v>
      </c>
      <c r="F525">
        <v>16.53</v>
      </c>
      <c r="G525">
        <v>2</v>
      </c>
      <c r="H525">
        <v>10</v>
      </c>
      <c r="I525">
        <v>18</v>
      </c>
      <c r="J525">
        <v>1</v>
      </c>
      <c r="K525">
        <v>3</v>
      </c>
      <c r="L525">
        <v>6</v>
      </c>
      <c r="M525" s="1">
        <f>C525/$B525-1</f>
        <v>-1.0179968347275605</v>
      </c>
      <c r="N525" s="1">
        <f>D525/$B525-1</f>
        <v>-1.0816640289396338</v>
      </c>
      <c r="O525" s="1">
        <f>E525/$B525-1</f>
        <v>-0.68627628306579247</v>
      </c>
      <c r="P525">
        <f>_xlfn.RANK.EQ(M525,M$2:M$564)</f>
        <v>528</v>
      </c>
      <c r="Q525">
        <f>_xlfn.RANK.EQ(N525,N$2:N$564)</f>
        <v>535</v>
      </c>
      <c r="R525">
        <f>_xlfn.RANK.EQ(O525,O$2:O$564)</f>
        <v>496</v>
      </c>
      <c r="S525">
        <f>SUM(P525:R525)</f>
        <v>1559</v>
      </c>
      <c r="T525">
        <f>_xlfn.RANK.EQ(S525,S$2:S$564, 1)</f>
        <v>524</v>
      </c>
    </row>
    <row r="526" spans="1:20" x14ac:dyDescent="0.35">
      <c r="A526" t="s">
        <v>525</v>
      </c>
      <c r="B526">
        <v>27.85</v>
      </c>
      <c r="C526">
        <v>0.55000000000000004</v>
      </c>
      <c r="D526">
        <v>0.62</v>
      </c>
      <c r="E526">
        <v>0.86</v>
      </c>
      <c r="F526">
        <v>17.16</v>
      </c>
      <c r="G526">
        <v>-3</v>
      </c>
      <c r="H526">
        <v>1</v>
      </c>
      <c r="I526">
        <v>5</v>
      </c>
      <c r="J526">
        <v>0</v>
      </c>
      <c r="K526">
        <v>0</v>
      </c>
      <c r="L526">
        <v>2</v>
      </c>
      <c r="M526" s="1">
        <f>C526/$B526-1</f>
        <v>-0.98025134649910228</v>
      </c>
      <c r="N526" s="1">
        <f>D526/$B526-1</f>
        <v>-0.97773788150807894</v>
      </c>
      <c r="O526" s="1">
        <f>E526/$B526-1</f>
        <v>-0.96912028725314181</v>
      </c>
      <c r="P526">
        <f>_xlfn.RANK.EQ(M526,M$2:M$564)</f>
        <v>513</v>
      </c>
      <c r="Q526">
        <f>_xlfn.RANK.EQ(N526,N$2:N$564)</f>
        <v>511</v>
      </c>
      <c r="R526">
        <f>_xlfn.RANK.EQ(O526,O$2:O$564)</f>
        <v>537</v>
      </c>
      <c r="S526">
        <f>SUM(P526:R526)</f>
        <v>1561</v>
      </c>
      <c r="T526">
        <f>_xlfn.RANK.EQ(S526,S$2:S$564, 1)</f>
        <v>525</v>
      </c>
    </row>
    <row r="527" spans="1:20" x14ac:dyDescent="0.35">
      <c r="A527" t="s">
        <v>338</v>
      </c>
      <c r="B527">
        <v>79.23</v>
      </c>
      <c r="C527">
        <v>0.72</v>
      </c>
      <c r="D527">
        <v>0.54</v>
      </c>
      <c r="E527">
        <v>3.27</v>
      </c>
      <c r="F527">
        <v>9.73</v>
      </c>
      <c r="G527">
        <v>2</v>
      </c>
      <c r="H527">
        <v>7</v>
      </c>
      <c r="I527">
        <v>12</v>
      </c>
      <c r="J527">
        <v>1</v>
      </c>
      <c r="K527">
        <v>5</v>
      </c>
      <c r="L527">
        <v>9</v>
      </c>
      <c r="M527" s="1">
        <f>C527/$B527-1</f>
        <v>-0.99091253313138961</v>
      </c>
      <c r="N527" s="1">
        <f>D527/$B527-1</f>
        <v>-0.99318439984854223</v>
      </c>
      <c r="O527" s="1">
        <f>E527/$B527-1</f>
        <v>-0.95872775463839455</v>
      </c>
      <c r="P527">
        <f>_xlfn.RANK.EQ(M527,M$2:M$564)</f>
        <v>515</v>
      </c>
      <c r="Q527">
        <f>_xlfn.RANK.EQ(N527,N$2:N$564)</f>
        <v>515</v>
      </c>
      <c r="R527">
        <f>_xlfn.RANK.EQ(O527,O$2:O$564)</f>
        <v>535</v>
      </c>
      <c r="S527">
        <f>SUM(P527:R527)</f>
        <v>1565</v>
      </c>
      <c r="T527">
        <f>_xlfn.RANK.EQ(S527,S$2:S$564, 1)</f>
        <v>526</v>
      </c>
    </row>
    <row r="528" spans="1:20" x14ac:dyDescent="0.35">
      <c r="A528" t="s">
        <v>314</v>
      </c>
      <c r="B528">
        <v>168.51</v>
      </c>
      <c r="C528">
        <v>-0.25</v>
      </c>
      <c r="D528">
        <v>-5.53</v>
      </c>
      <c r="E528">
        <v>26.28</v>
      </c>
      <c r="F528">
        <v>15.3</v>
      </c>
      <c r="G528">
        <v>2</v>
      </c>
      <c r="H528">
        <v>10</v>
      </c>
      <c r="I528">
        <v>18</v>
      </c>
      <c r="J528">
        <v>0</v>
      </c>
      <c r="K528">
        <v>1</v>
      </c>
      <c r="L528">
        <v>2</v>
      </c>
      <c r="M528" s="1">
        <f>C528/$B528-1</f>
        <v>-1.0014835914782505</v>
      </c>
      <c r="N528" s="1">
        <f>D528/$B528-1</f>
        <v>-1.0328170434989021</v>
      </c>
      <c r="O528" s="1">
        <f>E528/$B528-1</f>
        <v>-0.84404486380630228</v>
      </c>
      <c r="P528">
        <f>_xlfn.RANK.EQ(M528,M$2:M$564)</f>
        <v>520</v>
      </c>
      <c r="Q528">
        <f>_xlfn.RANK.EQ(N528,N$2:N$564)</f>
        <v>527</v>
      </c>
      <c r="R528">
        <f>_xlfn.RANK.EQ(O528,O$2:O$564)</f>
        <v>518</v>
      </c>
      <c r="S528">
        <f>SUM(P528:R528)</f>
        <v>1565</v>
      </c>
      <c r="T528">
        <f>_xlfn.RANK.EQ(S528,S$2:S$564, 1)</f>
        <v>526</v>
      </c>
    </row>
    <row r="529" spans="1:20" x14ac:dyDescent="0.35">
      <c r="A529" t="s">
        <v>21</v>
      </c>
      <c r="B529">
        <v>133.31</v>
      </c>
      <c r="C529">
        <v>-4.8899999999999997</v>
      </c>
      <c r="D529">
        <v>-10.48</v>
      </c>
      <c r="E529">
        <v>38.79</v>
      </c>
      <c r="F529">
        <v>10.23</v>
      </c>
      <c r="G529">
        <v>2</v>
      </c>
      <c r="H529">
        <v>10</v>
      </c>
      <c r="I529">
        <v>18</v>
      </c>
      <c r="J529">
        <v>1</v>
      </c>
      <c r="K529">
        <v>5</v>
      </c>
      <c r="L529">
        <v>9</v>
      </c>
      <c r="M529" s="1">
        <f>C529/$B529-1</f>
        <v>-1.0366814192483684</v>
      </c>
      <c r="N529" s="1">
        <f>D529/$B529-1</f>
        <v>-1.0786137574075463</v>
      </c>
      <c r="O529" s="1">
        <f>E529/$B529-1</f>
        <v>-0.70902407921386246</v>
      </c>
      <c r="P529">
        <f>_xlfn.RANK.EQ(M529,M$2:M$564)</f>
        <v>534</v>
      </c>
      <c r="Q529">
        <f>_xlfn.RANK.EQ(N529,N$2:N$564)</f>
        <v>534</v>
      </c>
      <c r="R529">
        <f>_xlfn.RANK.EQ(O529,O$2:O$564)</f>
        <v>500</v>
      </c>
      <c r="S529">
        <f>SUM(P529:R529)</f>
        <v>1568</v>
      </c>
      <c r="T529">
        <f>_xlfn.RANK.EQ(S529,S$2:S$564, 1)</f>
        <v>528</v>
      </c>
    </row>
    <row r="530" spans="1:20" x14ac:dyDescent="0.35">
      <c r="A530" t="s">
        <v>342</v>
      </c>
      <c r="B530">
        <v>77.010000000000005</v>
      </c>
      <c r="C530">
        <v>-0.18</v>
      </c>
      <c r="D530">
        <v>0.23</v>
      </c>
      <c r="E530">
        <v>5.42</v>
      </c>
      <c r="F530">
        <v>15.78</v>
      </c>
      <c r="G530">
        <v>-3</v>
      </c>
      <c r="H530">
        <v>1</v>
      </c>
      <c r="I530">
        <v>5</v>
      </c>
      <c r="J530">
        <v>0</v>
      </c>
      <c r="K530">
        <v>0</v>
      </c>
      <c r="L530">
        <v>2</v>
      </c>
      <c r="M530" s="1">
        <f>C530/$B530-1</f>
        <v>-1.0023373587845734</v>
      </c>
      <c r="N530" s="1">
        <f>D530/$B530-1</f>
        <v>-0.99701337488637842</v>
      </c>
      <c r="O530" s="1">
        <f>E530/$B530-1</f>
        <v>-0.9296195299311778</v>
      </c>
      <c r="P530">
        <f>_xlfn.RANK.EQ(M530,M$2:M$564)</f>
        <v>522</v>
      </c>
      <c r="Q530">
        <f>_xlfn.RANK.EQ(N530,N$2:N$564)</f>
        <v>516</v>
      </c>
      <c r="R530">
        <f>_xlfn.RANK.EQ(O530,O$2:O$564)</f>
        <v>532</v>
      </c>
      <c r="S530">
        <f>SUM(P530:R530)</f>
        <v>1570</v>
      </c>
      <c r="T530">
        <f>_xlfn.RANK.EQ(S530,S$2:S$564, 1)</f>
        <v>529</v>
      </c>
    </row>
    <row r="531" spans="1:20" x14ac:dyDescent="0.35">
      <c r="A531" t="s">
        <v>162</v>
      </c>
      <c r="B531">
        <v>254.29</v>
      </c>
      <c r="C531">
        <v>-2.37</v>
      </c>
      <c r="D531">
        <v>-12.79</v>
      </c>
      <c r="E531">
        <v>26.94</v>
      </c>
      <c r="F531">
        <v>16.809999999999999</v>
      </c>
      <c r="G531">
        <v>2</v>
      </c>
      <c r="H531">
        <v>10</v>
      </c>
      <c r="I531">
        <v>18</v>
      </c>
      <c r="J531">
        <v>0</v>
      </c>
      <c r="K531">
        <v>2</v>
      </c>
      <c r="L531">
        <v>3</v>
      </c>
      <c r="M531" s="1">
        <f>C531/$B531-1</f>
        <v>-1.0093200676393095</v>
      </c>
      <c r="N531" s="1">
        <f>D531/$B531-1</f>
        <v>-1.0502969051083408</v>
      </c>
      <c r="O531" s="1">
        <f>E531/$B531-1</f>
        <v>-0.89405796531519133</v>
      </c>
      <c r="P531">
        <f>_xlfn.RANK.EQ(M531,M$2:M$564)</f>
        <v>526</v>
      </c>
      <c r="Q531">
        <f>_xlfn.RANK.EQ(N531,N$2:N$564)</f>
        <v>530</v>
      </c>
      <c r="R531">
        <f>_xlfn.RANK.EQ(O531,O$2:O$564)</f>
        <v>524</v>
      </c>
      <c r="S531">
        <f>SUM(P531:R531)</f>
        <v>1580</v>
      </c>
      <c r="T531">
        <f>_xlfn.RANK.EQ(S531,S$2:S$564, 1)</f>
        <v>530</v>
      </c>
    </row>
    <row r="532" spans="1:20" x14ac:dyDescent="0.35">
      <c r="A532" t="s">
        <v>180</v>
      </c>
      <c r="B532">
        <v>24.08</v>
      </c>
      <c r="C532">
        <v>-0.91</v>
      </c>
      <c r="D532">
        <v>-0.78</v>
      </c>
      <c r="E532">
        <v>3.42</v>
      </c>
      <c r="F532">
        <v>16.13</v>
      </c>
      <c r="G532">
        <v>-2</v>
      </c>
      <c r="H532">
        <v>1</v>
      </c>
      <c r="I532">
        <v>5</v>
      </c>
      <c r="J532">
        <v>0</v>
      </c>
      <c r="K532">
        <v>0</v>
      </c>
      <c r="L532">
        <v>2</v>
      </c>
      <c r="M532" s="1">
        <f>C532/$B532-1</f>
        <v>-1.0377906976744187</v>
      </c>
      <c r="N532" s="1">
        <f>D532/$B532-1</f>
        <v>-1.0323920265780731</v>
      </c>
      <c r="O532" s="1">
        <f>E532/$B532-1</f>
        <v>-0.85797342192691028</v>
      </c>
      <c r="P532">
        <f>_xlfn.RANK.EQ(M532,M$2:M$564)</f>
        <v>535</v>
      </c>
      <c r="Q532">
        <f>_xlfn.RANK.EQ(N532,N$2:N$564)</f>
        <v>526</v>
      </c>
      <c r="R532">
        <f>_xlfn.RANK.EQ(O532,O$2:O$564)</f>
        <v>519</v>
      </c>
      <c r="S532">
        <f>SUM(P532:R532)</f>
        <v>1580</v>
      </c>
      <c r="T532">
        <f>_xlfn.RANK.EQ(S532,S$2:S$564, 1)</f>
        <v>530</v>
      </c>
    </row>
    <row r="533" spans="1:20" x14ac:dyDescent="0.35">
      <c r="A533" t="s">
        <v>513</v>
      </c>
      <c r="B533">
        <v>202.44</v>
      </c>
      <c r="C533">
        <v>-47.1</v>
      </c>
      <c r="D533">
        <v>-42.3</v>
      </c>
      <c r="E533">
        <v>67.69</v>
      </c>
      <c r="F533">
        <v>13.29</v>
      </c>
      <c r="G533">
        <v>2</v>
      </c>
      <c r="H533">
        <v>10</v>
      </c>
      <c r="I533">
        <v>18</v>
      </c>
      <c r="J533">
        <v>0</v>
      </c>
      <c r="K533">
        <v>0</v>
      </c>
      <c r="L533">
        <v>2</v>
      </c>
      <c r="M533" s="1">
        <f>C533/$B533-1</f>
        <v>-1.2326615293420273</v>
      </c>
      <c r="N533" s="1">
        <f>D533/$B533-1</f>
        <v>-1.2089508002371072</v>
      </c>
      <c r="O533" s="1">
        <f>E533/$B533-1</f>
        <v>-0.6656293222683265</v>
      </c>
      <c r="P533">
        <f>_xlfn.RANK.EQ(M533,M$2:M$564)</f>
        <v>547</v>
      </c>
      <c r="Q533">
        <f>_xlfn.RANK.EQ(N533,N$2:N$564)</f>
        <v>545</v>
      </c>
      <c r="R533">
        <f>_xlfn.RANK.EQ(O533,O$2:O$564)</f>
        <v>491</v>
      </c>
      <c r="S533">
        <f>SUM(P533:R533)</f>
        <v>1583</v>
      </c>
      <c r="T533">
        <f>_xlfn.RANK.EQ(S533,S$2:S$564, 1)</f>
        <v>532</v>
      </c>
    </row>
    <row r="534" spans="1:20" x14ac:dyDescent="0.35">
      <c r="A534" t="s">
        <v>157</v>
      </c>
      <c r="B534">
        <v>19.09</v>
      </c>
      <c r="C534">
        <v>-0.21</v>
      </c>
      <c r="D534">
        <v>-0.11</v>
      </c>
      <c r="E534">
        <v>0.55000000000000004</v>
      </c>
      <c r="F534">
        <v>14.1</v>
      </c>
      <c r="G534">
        <v>-3</v>
      </c>
      <c r="H534">
        <v>1</v>
      </c>
      <c r="I534">
        <v>5</v>
      </c>
      <c r="J534">
        <v>1</v>
      </c>
      <c r="K534">
        <v>5</v>
      </c>
      <c r="L534">
        <v>9</v>
      </c>
      <c r="M534" s="1">
        <f>C534/$B534-1</f>
        <v>-1.0110005238344684</v>
      </c>
      <c r="N534" s="1">
        <f>D534/$B534-1</f>
        <v>-1.0057621791513882</v>
      </c>
      <c r="O534" s="1">
        <f>E534/$B534-1</f>
        <v>-0.97118910424305915</v>
      </c>
      <c r="P534">
        <f>_xlfn.RANK.EQ(M534,M$2:M$564)</f>
        <v>527</v>
      </c>
      <c r="Q534">
        <f>_xlfn.RANK.EQ(N534,N$2:N$564)</f>
        <v>520</v>
      </c>
      <c r="R534">
        <f>_xlfn.RANK.EQ(O534,O$2:O$564)</f>
        <v>538</v>
      </c>
      <c r="S534">
        <f>SUM(P534:R534)</f>
        <v>1585</v>
      </c>
      <c r="T534">
        <f>_xlfn.RANK.EQ(S534,S$2:S$564, 1)</f>
        <v>533</v>
      </c>
    </row>
    <row r="535" spans="1:20" x14ac:dyDescent="0.35">
      <c r="A535" t="s">
        <v>449</v>
      </c>
      <c r="B535">
        <v>56.57</v>
      </c>
      <c r="C535">
        <v>-0.09</v>
      </c>
      <c r="D535">
        <v>-0.15</v>
      </c>
      <c r="E535">
        <v>-0.52</v>
      </c>
      <c r="F535">
        <v>14.45</v>
      </c>
      <c r="G535">
        <v>2</v>
      </c>
      <c r="H535">
        <v>10</v>
      </c>
      <c r="I535">
        <v>18</v>
      </c>
      <c r="J535">
        <v>0</v>
      </c>
      <c r="K535">
        <v>0</v>
      </c>
      <c r="L535">
        <v>2</v>
      </c>
      <c r="M535" s="1">
        <f>C535/$B535-1</f>
        <v>-1.0015909492663957</v>
      </c>
      <c r="N535" s="1">
        <f>D535/$B535-1</f>
        <v>-1.0026515821106594</v>
      </c>
      <c r="O535" s="1">
        <f>E535/$B535-1</f>
        <v>-1.0091921513169524</v>
      </c>
      <c r="P535">
        <f>_xlfn.RANK.EQ(M535,M$2:M$564)</f>
        <v>521</v>
      </c>
      <c r="Q535">
        <f>_xlfn.RANK.EQ(N535,N$2:N$564)</f>
        <v>517</v>
      </c>
      <c r="R535">
        <f>_xlfn.RANK.EQ(O535,O$2:O$564)</f>
        <v>548</v>
      </c>
      <c r="S535">
        <f>SUM(P535:R535)</f>
        <v>1586</v>
      </c>
      <c r="T535">
        <f>_xlfn.RANK.EQ(S535,S$2:S$564, 1)</f>
        <v>534</v>
      </c>
    </row>
    <row r="536" spans="1:20" x14ac:dyDescent="0.35">
      <c r="A536" t="s">
        <v>205</v>
      </c>
      <c r="B536">
        <v>331.44</v>
      </c>
      <c r="C536">
        <v>-1.31</v>
      </c>
      <c r="D536">
        <v>-1.22</v>
      </c>
      <c r="E536">
        <v>-0.89</v>
      </c>
      <c r="F536">
        <v>17.14</v>
      </c>
      <c r="G536">
        <v>-3</v>
      </c>
      <c r="H536">
        <v>1</v>
      </c>
      <c r="I536">
        <v>5</v>
      </c>
      <c r="J536">
        <v>0</v>
      </c>
      <c r="K536">
        <v>0</v>
      </c>
      <c r="L536">
        <v>2</v>
      </c>
      <c r="M536" s="1">
        <f>C536/$B536-1</f>
        <v>-1.0039524499155201</v>
      </c>
      <c r="N536" s="1">
        <f>D536/$B536-1</f>
        <v>-1.0036809075549118</v>
      </c>
      <c r="O536" s="1">
        <f>E536/$B536-1</f>
        <v>-1.0026852522326817</v>
      </c>
      <c r="P536">
        <f>_xlfn.RANK.EQ(M536,M$2:M$564)</f>
        <v>523</v>
      </c>
      <c r="Q536">
        <f>_xlfn.RANK.EQ(N536,N$2:N$564)</f>
        <v>518</v>
      </c>
      <c r="R536">
        <f>_xlfn.RANK.EQ(O536,O$2:O$564)</f>
        <v>547</v>
      </c>
      <c r="S536">
        <f>SUM(P536:R536)</f>
        <v>1588</v>
      </c>
      <c r="T536">
        <f>_xlfn.RANK.EQ(S536,S$2:S$564, 1)</f>
        <v>535</v>
      </c>
    </row>
    <row r="537" spans="1:20" x14ac:dyDescent="0.35">
      <c r="A537" t="s">
        <v>424</v>
      </c>
      <c r="B537">
        <v>17.7</v>
      </c>
      <c r="C537">
        <v>-7.0000000000000007E-2</v>
      </c>
      <c r="D537">
        <v>-7.0000000000000007E-2</v>
      </c>
      <c r="E537">
        <v>0</v>
      </c>
      <c r="F537">
        <v>26.88</v>
      </c>
      <c r="G537">
        <v>-3</v>
      </c>
      <c r="H537">
        <v>1</v>
      </c>
      <c r="I537">
        <v>5</v>
      </c>
      <c r="J537">
        <v>-2</v>
      </c>
      <c r="K537">
        <v>0</v>
      </c>
      <c r="L537">
        <v>2</v>
      </c>
      <c r="M537" s="1">
        <f>C537/$B537-1</f>
        <v>-1.003954802259887</v>
      </c>
      <c r="N537" s="1">
        <f>D537/$B537-1</f>
        <v>-1.003954802259887</v>
      </c>
      <c r="O537" s="1">
        <f>E537/$B537-1</f>
        <v>-1</v>
      </c>
      <c r="P537">
        <f>_xlfn.RANK.EQ(M537,M$2:M$564)</f>
        <v>524</v>
      </c>
      <c r="Q537">
        <f>_xlfn.RANK.EQ(N537,N$2:N$564)</f>
        <v>519</v>
      </c>
      <c r="R537">
        <f>_xlfn.RANK.EQ(O537,O$2:O$564)</f>
        <v>546</v>
      </c>
      <c r="S537">
        <f>SUM(P537:R537)</f>
        <v>1589</v>
      </c>
      <c r="T537">
        <f>_xlfn.RANK.EQ(S537,S$2:S$564, 1)</f>
        <v>536</v>
      </c>
    </row>
    <row r="538" spans="1:20" x14ac:dyDescent="0.35">
      <c r="A538" t="s">
        <v>159</v>
      </c>
      <c r="B538">
        <v>17.010000000000002</v>
      </c>
      <c r="C538">
        <v>-0.11</v>
      </c>
      <c r="D538">
        <v>-0.32</v>
      </c>
      <c r="E538">
        <v>0.37</v>
      </c>
      <c r="F538">
        <v>24.19</v>
      </c>
      <c r="G538">
        <v>0</v>
      </c>
      <c r="H538">
        <v>2</v>
      </c>
      <c r="I538">
        <v>5</v>
      </c>
      <c r="J538">
        <v>-2</v>
      </c>
      <c r="K538">
        <v>0</v>
      </c>
      <c r="L538">
        <v>2</v>
      </c>
      <c r="M538" s="1">
        <f>C538/$B538-1</f>
        <v>-1.006466784244562</v>
      </c>
      <c r="N538" s="1">
        <f>D538/$B538-1</f>
        <v>-1.0188124632569078</v>
      </c>
      <c r="O538" s="1">
        <f>E538/$B538-1</f>
        <v>-0.97824808935920049</v>
      </c>
      <c r="P538">
        <f>_xlfn.RANK.EQ(M538,M$2:M$564)</f>
        <v>525</v>
      </c>
      <c r="Q538">
        <f>_xlfn.RANK.EQ(N538,N$2:N$564)</f>
        <v>521</v>
      </c>
      <c r="R538">
        <f>_xlfn.RANK.EQ(O538,O$2:O$564)</f>
        <v>543</v>
      </c>
      <c r="S538">
        <f>SUM(P538:R538)</f>
        <v>1589</v>
      </c>
      <c r="T538">
        <f>_xlfn.RANK.EQ(S538,S$2:S$564, 1)</f>
        <v>536</v>
      </c>
    </row>
    <row r="539" spans="1:20" x14ac:dyDescent="0.35">
      <c r="A539" t="s">
        <v>143</v>
      </c>
      <c r="B539">
        <v>26</v>
      </c>
      <c r="C539">
        <v>-13.13</v>
      </c>
      <c r="D539">
        <v>-14.07</v>
      </c>
      <c r="E539">
        <v>10.1</v>
      </c>
      <c r="F539">
        <v>20.16</v>
      </c>
      <c r="G539">
        <v>-3</v>
      </c>
      <c r="H539">
        <v>1</v>
      </c>
      <c r="I539">
        <v>5</v>
      </c>
      <c r="J539">
        <v>0</v>
      </c>
      <c r="K539">
        <v>0</v>
      </c>
      <c r="L539">
        <v>2</v>
      </c>
      <c r="M539" s="1">
        <f>C539/$B539-1</f>
        <v>-1.5049999999999999</v>
      </c>
      <c r="N539" s="1">
        <f>D539/$B539-1</f>
        <v>-1.5411538461538461</v>
      </c>
      <c r="O539" s="1">
        <f>E539/$B539-1</f>
        <v>-0.61153846153846159</v>
      </c>
      <c r="P539">
        <f>_xlfn.RANK.EQ(M539,M$2:M$564)</f>
        <v>553</v>
      </c>
      <c r="Q539">
        <f>_xlfn.RANK.EQ(N539,N$2:N$564)</f>
        <v>555</v>
      </c>
      <c r="R539">
        <f>_xlfn.RANK.EQ(O539,O$2:O$564)</f>
        <v>482</v>
      </c>
      <c r="S539">
        <f>SUM(P539:R539)</f>
        <v>1590</v>
      </c>
      <c r="T539">
        <f>_xlfn.RANK.EQ(S539,S$2:S$564, 1)</f>
        <v>538</v>
      </c>
    </row>
    <row r="540" spans="1:20" x14ac:dyDescent="0.35">
      <c r="A540" t="s">
        <v>425</v>
      </c>
      <c r="B540">
        <v>53.07</v>
      </c>
      <c r="C540">
        <v>-6.52</v>
      </c>
      <c r="D540">
        <v>-13.14</v>
      </c>
      <c r="E540">
        <v>14.44</v>
      </c>
      <c r="F540">
        <v>12.05</v>
      </c>
      <c r="G540">
        <v>2</v>
      </c>
      <c r="H540">
        <v>10</v>
      </c>
      <c r="I540">
        <v>18</v>
      </c>
      <c r="J540">
        <v>1</v>
      </c>
      <c r="K540">
        <v>5</v>
      </c>
      <c r="L540">
        <v>9</v>
      </c>
      <c r="M540" s="1">
        <f>C540/$B540-1</f>
        <v>-1.1228566044846429</v>
      </c>
      <c r="N540" s="1">
        <f>D540/$B540-1</f>
        <v>-1.2475975127190504</v>
      </c>
      <c r="O540" s="1">
        <f>E540/$B540-1</f>
        <v>-0.72790653853401177</v>
      </c>
      <c r="P540">
        <f>_xlfn.RANK.EQ(M540,M$2:M$564)</f>
        <v>545</v>
      </c>
      <c r="Q540">
        <f>_xlfn.RANK.EQ(N540,N$2:N$564)</f>
        <v>546</v>
      </c>
      <c r="R540">
        <f>_xlfn.RANK.EQ(O540,O$2:O$564)</f>
        <v>502</v>
      </c>
      <c r="S540">
        <f>SUM(P540:R540)</f>
        <v>1593</v>
      </c>
      <c r="T540">
        <f>_xlfn.RANK.EQ(S540,S$2:S$564, 1)</f>
        <v>539</v>
      </c>
    </row>
    <row r="541" spans="1:20" x14ac:dyDescent="0.35">
      <c r="A541" t="s">
        <v>158</v>
      </c>
      <c r="B541">
        <v>17.760000000000002</v>
      </c>
      <c r="C541">
        <v>-0.45</v>
      </c>
      <c r="D541">
        <v>-0.48</v>
      </c>
      <c r="E541">
        <v>0.45</v>
      </c>
      <c r="F541">
        <v>14.11</v>
      </c>
      <c r="G541">
        <v>0</v>
      </c>
      <c r="H541">
        <v>1</v>
      </c>
      <c r="I541">
        <v>5</v>
      </c>
      <c r="J541">
        <v>1</v>
      </c>
      <c r="K541">
        <v>5</v>
      </c>
      <c r="L541">
        <v>9</v>
      </c>
      <c r="M541" s="1">
        <f>C541/$B541-1</f>
        <v>-1.0253378378378379</v>
      </c>
      <c r="N541" s="1">
        <f>D541/$B541-1</f>
        <v>-1.027027027027027</v>
      </c>
      <c r="O541" s="1">
        <f>E541/$B541-1</f>
        <v>-0.97466216216216217</v>
      </c>
      <c r="P541">
        <f>_xlfn.RANK.EQ(M541,M$2:M$564)</f>
        <v>530</v>
      </c>
      <c r="Q541">
        <f>_xlfn.RANK.EQ(N541,N$2:N$564)</f>
        <v>524</v>
      </c>
      <c r="R541">
        <f>_xlfn.RANK.EQ(O541,O$2:O$564)</f>
        <v>542</v>
      </c>
      <c r="S541">
        <f>SUM(P541:R541)</f>
        <v>1596</v>
      </c>
      <c r="T541">
        <f>_xlfn.RANK.EQ(S541,S$2:S$564, 1)</f>
        <v>540</v>
      </c>
    </row>
    <row r="542" spans="1:20" x14ac:dyDescent="0.35">
      <c r="A542" t="s">
        <v>210</v>
      </c>
      <c r="B542">
        <v>67.349999999999994</v>
      </c>
      <c r="C542">
        <v>-1.44</v>
      </c>
      <c r="D542">
        <v>-1.81</v>
      </c>
      <c r="E542">
        <v>0.02</v>
      </c>
      <c r="F542">
        <v>16</v>
      </c>
      <c r="G542">
        <v>0</v>
      </c>
      <c r="H542">
        <v>2</v>
      </c>
      <c r="I542">
        <v>5</v>
      </c>
      <c r="J542">
        <v>0</v>
      </c>
      <c r="K542">
        <v>0</v>
      </c>
      <c r="L542">
        <v>2</v>
      </c>
      <c r="M542" s="1">
        <f>C542/$B542-1</f>
        <v>-1.021380846325167</v>
      </c>
      <c r="N542" s="1">
        <f>D542/$B542-1</f>
        <v>-1.026874536005939</v>
      </c>
      <c r="O542" s="1">
        <f>E542/$B542-1</f>
        <v>-0.99970304380103936</v>
      </c>
      <c r="P542">
        <f>_xlfn.RANK.EQ(M542,M$2:M$564)</f>
        <v>529</v>
      </c>
      <c r="Q542">
        <f>_xlfn.RANK.EQ(N542,N$2:N$564)</f>
        <v>523</v>
      </c>
      <c r="R542">
        <f>_xlfn.RANK.EQ(O542,O$2:O$564)</f>
        <v>545</v>
      </c>
      <c r="S542">
        <f>SUM(P542:R542)</f>
        <v>1597</v>
      </c>
      <c r="T542">
        <f>_xlfn.RANK.EQ(S542,S$2:S$564, 1)</f>
        <v>541</v>
      </c>
    </row>
    <row r="543" spans="1:20" x14ac:dyDescent="0.35">
      <c r="A543" t="s">
        <v>161</v>
      </c>
      <c r="B543">
        <v>43.55</v>
      </c>
      <c r="C543">
        <v>-2.78</v>
      </c>
      <c r="D543">
        <v>-2.64</v>
      </c>
      <c r="E543">
        <v>3.3</v>
      </c>
      <c r="F543">
        <v>18.170000000000002</v>
      </c>
      <c r="G543">
        <v>-3</v>
      </c>
      <c r="H543">
        <v>1</v>
      </c>
      <c r="I543">
        <v>5</v>
      </c>
      <c r="J543">
        <v>0</v>
      </c>
      <c r="K543">
        <v>0</v>
      </c>
      <c r="L543">
        <v>2</v>
      </c>
      <c r="M543" s="1">
        <f>C543/$B543-1</f>
        <v>-1.0638346727898966</v>
      </c>
      <c r="N543" s="1">
        <f>D543/$B543-1</f>
        <v>-1.0606199770378875</v>
      </c>
      <c r="O543" s="1">
        <f>E543/$B543-1</f>
        <v>-0.92422502870264067</v>
      </c>
      <c r="P543">
        <f>_xlfn.RANK.EQ(M543,M$2:M$564)</f>
        <v>539</v>
      </c>
      <c r="Q543">
        <f>_xlfn.RANK.EQ(N543,N$2:N$564)</f>
        <v>532</v>
      </c>
      <c r="R543">
        <f>_xlfn.RANK.EQ(O543,O$2:O$564)</f>
        <v>530</v>
      </c>
      <c r="S543">
        <f>SUM(P543:R543)</f>
        <v>1601</v>
      </c>
      <c r="T543">
        <f>_xlfn.RANK.EQ(S543,S$2:S$564, 1)</f>
        <v>542</v>
      </c>
    </row>
    <row r="544" spans="1:20" x14ac:dyDescent="0.35">
      <c r="A544" t="s">
        <v>40</v>
      </c>
      <c r="B544">
        <v>215.94</v>
      </c>
      <c r="C544">
        <v>-20.94</v>
      </c>
      <c r="D544">
        <v>-20.07</v>
      </c>
      <c r="E544">
        <v>22.14</v>
      </c>
      <c r="F544">
        <v>19.48</v>
      </c>
      <c r="G544">
        <v>-3</v>
      </c>
      <c r="H544">
        <v>1</v>
      </c>
      <c r="I544">
        <v>5</v>
      </c>
      <c r="J544">
        <v>-1</v>
      </c>
      <c r="K544">
        <v>0</v>
      </c>
      <c r="L544">
        <v>2</v>
      </c>
      <c r="M544" s="1">
        <f>C544/$B544-1</f>
        <v>-1.0969713809391497</v>
      </c>
      <c r="N544" s="1">
        <f>D544/$B544-1</f>
        <v>-1.0929424840233399</v>
      </c>
      <c r="O544" s="1">
        <f>E544/$B544-1</f>
        <v>-0.89747151986662965</v>
      </c>
      <c r="P544">
        <f>_xlfn.RANK.EQ(M544,M$2:M$564)</f>
        <v>543</v>
      </c>
      <c r="Q544">
        <f>_xlfn.RANK.EQ(N544,N$2:N$564)</f>
        <v>537</v>
      </c>
      <c r="R544">
        <f>_xlfn.RANK.EQ(O544,O$2:O$564)</f>
        <v>526</v>
      </c>
      <c r="S544">
        <f>SUM(P544:R544)</f>
        <v>1606</v>
      </c>
      <c r="T544">
        <f>_xlfn.RANK.EQ(S544,S$2:S$564, 1)</f>
        <v>543</v>
      </c>
    </row>
    <row r="545" spans="1:20" x14ac:dyDescent="0.35">
      <c r="A545" t="s">
        <v>39</v>
      </c>
      <c r="B545">
        <v>55.61</v>
      </c>
      <c r="C545">
        <v>-1.7</v>
      </c>
      <c r="D545">
        <v>-4.87</v>
      </c>
      <c r="E545">
        <v>1.46</v>
      </c>
      <c r="F545">
        <v>22.94</v>
      </c>
      <c r="G545">
        <v>2</v>
      </c>
      <c r="H545">
        <v>10</v>
      </c>
      <c r="I545">
        <v>18</v>
      </c>
      <c r="J545">
        <v>-2</v>
      </c>
      <c r="K545">
        <v>0</v>
      </c>
      <c r="L545">
        <v>2</v>
      </c>
      <c r="M545" s="1">
        <f>C545/$B545-1</f>
        <v>-1.0305700413594676</v>
      </c>
      <c r="N545" s="1">
        <f>D545/$B545-1</f>
        <v>-1.08757417730624</v>
      </c>
      <c r="O545" s="1">
        <f>E545/$B545-1</f>
        <v>-0.97374572918539826</v>
      </c>
      <c r="P545">
        <f>_xlfn.RANK.EQ(M545,M$2:M$564)</f>
        <v>531</v>
      </c>
      <c r="Q545">
        <f>_xlfn.RANK.EQ(N545,N$2:N$564)</f>
        <v>536</v>
      </c>
      <c r="R545">
        <f>_xlfn.RANK.EQ(O545,O$2:O$564)</f>
        <v>541</v>
      </c>
      <c r="S545">
        <f>SUM(P545:R545)</f>
        <v>1608</v>
      </c>
      <c r="T545">
        <f>_xlfn.RANK.EQ(S545,S$2:S$564, 1)</f>
        <v>544</v>
      </c>
    </row>
    <row r="546" spans="1:20" x14ac:dyDescent="0.35">
      <c r="A546" t="s">
        <v>307</v>
      </c>
      <c r="B546">
        <v>113.37</v>
      </c>
      <c r="C546">
        <v>-4.92</v>
      </c>
      <c r="D546">
        <v>-13.33</v>
      </c>
      <c r="E546">
        <v>5.85</v>
      </c>
      <c r="F546">
        <v>16.87</v>
      </c>
      <c r="G546">
        <v>2</v>
      </c>
      <c r="H546">
        <v>10</v>
      </c>
      <c r="I546">
        <v>18</v>
      </c>
      <c r="J546">
        <v>0</v>
      </c>
      <c r="K546">
        <v>0</v>
      </c>
      <c r="L546">
        <v>2</v>
      </c>
      <c r="M546" s="1">
        <f>C546/$B546-1</f>
        <v>-1.0433977242656787</v>
      </c>
      <c r="N546" s="1">
        <f>D546/$B546-1</f>
        <v>-1.1175796065978654</v>
      </c>
      <c r="O546" s="1">
        <f>E546/$B546-1</f>
        <v>-0.94839904736702829</v>
      </c>
      <c r="P546">
        <f>_xlfn.RANK.EQ(M546,M$2:M$564)</f>
        <v>536</v>
      </c>
      <c r="Q546">
        <f>_xlfn.RANK.EQ(N546,N$2:N$564)</f>
        <v>539</v>
      </c>
      <c r="R546">
        <f>_xlfn.RANK.EQ(O546,O$2:O$564)</f>
        <v>533</v>
      </c>
      <c r="S546">
        <f>SUM(P546:R546)</f>
        <v>1608</v>
      </c>
      <c r="T546">
        <f>_xlfn.RANK.EQ(S546,S$2:S$564, 1)</f>
        <v>544</v>
      </c>
    </row>
    <row r="547" spans="1:20" x14ac:dyDescent="0.35">
      <c r="A547" t="s">
        <v>274</v>
      </c>
      <c r="B547">
        <v>182.79</v>
      </c>
      <c r="C547">
        <v>-6.53</v>
      </c>
      <c r="D547">
        <v>-6.49</v>
      </c>
      <c r="E547">
        <v>-3.66</v>
      </c>
      <c r="F547">
        <v>14.62</v>
      </c>
      <c r="G547">
        <v>1</v>
      </c>
      <c r="H547">
        <v>3</v>
      </c>
      <c r="I547">
        <v>6</v>
      </c>
      <c r="J547">
        <v>0</v>
      </c>
      <c r="K547">
        <v>0</v>
      </c>
      <c r="L547">
        <v>2</v>
      </c>
      <c r="M547" s="1">
        <f>C547/$B547-1</f>
        <v>-1.0357240549264184</v>
      </c>
      <c r="N547" s="1">
        <f>D547/$B547-1</f>
        <v>-1.0355052245746486</v>
      </c>
      <c r="O547" s="1">
        <f>E547/$B547-1</f>
        <v>-1.0200229771869358</v>
      </c>
      <c r="P547">
        <f>_xlfn.RANK.EQ(M547,M$2:M$564)</f>
        <v>533</v>
      </c>
      <c r="Q547">
        <f>_xlfn.RANK.EQ(N547,N$2:N$564)</f>
        <v>528</v>
      </c>
      <c r="R547">
        <f>_xlfn.RANK.EQ(O547,O$2:O$564)</f>
        <v>551</v>
      </c>
      <c r="S547">
        <f>SUM(P547:R547)</f>
        <v>1612</v>
      </c>
      <c r="T547">
        <f>_xlfn.RANK.EQ(S547,S$2:S$564, 1)</f>
        <v>546</v>
      </c>
    </row>
    <row r="548" spans="1:20" x14ac:dyDescent="0.35">
      <c r="A548" t="s">
        <v>504</v>
      </c>
      <c r="B548">
        <v>246.26</v>
      </c>
      <c r="C548">
        <v>-10.94</v>
      </c>
      <c r="D548">
        <v>-14.9</v>
      </c>
      <c r="E548">
        <v>3.55</v>
      </c>
      <c r="F548">
        <v>16.88</v>
      </c>
      <c r="G548">
        <v>1</v>
      </c>
      <c r="H548">
        <v>2</v>
      </c>
      <c r="I548">
        <v>5</v>
      </c>
      <c r="J548">
        <v>0</v>
      </c>
      <c r="K548">
        <v>0</v>
      </c>
      <c r="L548">
        <v>2</v>
      </c>
      <c r="M548" s="1">
        <f>C548/$B548-1</f>
        <v>-1.0444245918947455</v>
      </c>
      <c r="N548" s="1">
        <f>D548/$B548-1</f>
        <v>-1.0605051571509787</v>
      </c>
      <c r="O548" s="1">
        <f>E548/$B548-1</f>
        <v>-0.98558434175261922</v>
      </c>
      <c r="P548">
        <f>_xlfn.RANK.EQ(M548,M$2:M$564)</f>
        <v>537</v>
      </c>
      <c r="Q548">
        <f>_xlfn.RANK.EQ(N548,N$2:N$564)</f>
        <v>531</v>
      </c>
      <c r="R548">
        <f>_xlfn.RANK.EQ(O548,O$2:O$564)</f>
        <v>544</v>
      </c>
      <c r="S548">
        <f>SUM(P548:R548)</f>
        <v>1612</v>
      </c>
      <c r="T548">
        <f>_xlfn.RANK.EQ(S548,S$2:S$564, 1)</f>
        <v>546</v>
      </c>
    </row>
    <row r="549" spans="1:20" x14ac:dyDescent="0.35">
      <c r="A549" t="s">
        <v>133</v>
      </c>
      <c r="B549">
        <v>18.87</v>
      </c>
      <c r="C549">
        <v>-0.97</v>
      </c>
      <c r="D549">
        <v>-0.61</v>
      </c>
      <c r="E549">
        <v>-1.33</v>
      </c>
      <c r="F549">
        <v>15.82</v>
      </c>
      <c r="G549">
        <v>-3</v>
      </c>
      <c r="H549">
        <v>1</v>
      </c>
      <c r="I549">
        <v>5</v>
      </c>
      <c r="J549">
        <v>0</v>
      </c>
      <c r="K549">
        <v>0</v>
      </c>
      <c r="L549">
        <v>2</v>
      </c>
      <c r="M549" s="1">
        <f>C549/$B549-1</f>
        <v>-1.0514043455219926</v>
      </c>
      <c r="N549" s="1">
        <f>D549/$B549-1</f>
        <v>-1.0323264440911499</v>
      </c>
      <c r="O549" s="1">
        <f>E549/$B549-1</f>
        <v>-1.0704822469528352</v>
      </c>
      <c r="P549">
        <f>_xlfn.RANK.EQ(M549,M$2:M$564)</f>
        <v>538</v>
      </c>
      <c r="Q549">
        <f>_xlfn.RANK.EQ(N549,N$2:N$564)</f>
        <v>525</v>
      </c>
      <c r="R549">
        <f>_xlfn.RANK.EQ(O549,O$2:O$564)</f>
        <v>553</v>
      </c>
      <c r="S549">
        <f>SUM(P549:R549)</f>
        <v>1616</v>
      </c>
      <c r="T549">
        <f>_xlfn.RANK.EQ(S549,S$2:S$564, 1)</f>
        <v>548</v>
      </c>
    </row>
    <row r="550" spans="1:20" x14ac:dyDescent="0.35">
      <c r="A550" t="s">
        <v>423</v>
      </c>
      <c r="B550">
        <v>9.07</v>
      </c>
      <c r="C550">
        <v>-0.98</v>
      </c>
      <c r="D550">
        <v>-0.86</v>
      </c>
      <c r="E550">
        <v>0.46</v>
      </c>
      <c r="F550">
        <v>18.23</v>
      </c>
      <c r="G550">
        <v>-3</v>
      </c>
      <c r="H550">
        <v>1</v>
      </c>
      <c r="I550">
        <v>5</v>
      </c>
      <c r="J550">
        <v>0</v>
      </c>
      <c r="K550">
        <v>0</v>
      </c>
      <c r="L550">
        <v>2</v>
      </c>
      <c r="M550" s="1">
        <f>C550/$B550-1</f>
        <v>-1.1080485115766263</v>
      </c>
      <c r="N550" s="1">
        <f>D550/$B550-1</f>
        <v>-1.0948180815876516</v>
      </c>
      <c r="O550" s="1">
        <f>E550/$B550-1</f>
        <v>-0.94928335170893052</v>
      </c>
      <c r="P550">
        <f>_xlfn.RANK.EQ(M550,M$2:M$564)</f>
        <v>544</v>
      </c>
      <c r="Q550">
        <f>_xlfn.RANK.EQ(N550,N$2:N$564)</f>
        <v>538</v>
      </c>
      <c r="R550">
        <f>_xlfn.RANK.EQ(O550,O$2:O$564)</f>
        <v>534</v>
      </c>
      <c r="S550">
        <f>SUM(P550:R550)</f>
        <v>1616</v>
      </c>
      <c r="T550">
        <f>_xlfn.RANK.EQ(S550,S$2:S$564, 1)</f>
        <v>548</v>
      </c>
    </row>
    <row r="551" spans="1:20" x14ac:dyDescent="0.35">
      <c r="A551" t="s">
        <v>303</v>
      </c>
      <c r="B551">
        <v>53.4</v>
      </c>
      <c r="C551">
        <v>-1.78</v>
      </c>
      <c r="D551">
        <v>-3.5</v>
      </c>
      <c r="E551">
        <v>-10.26</v>
      </c>
      <c r="F551">
        <v>15.25</v>
      </c>
      <c r="G551">
        <v>2</v>
      </c>
      <c r="H551">
        <v>10</v>
      </c>
      <c r="I551">
        <v>18</v>
      </c>
      <c r="J551">
        <v>0</v>
      </c>
      <c r="K551">
        <v>0</v>
      </c>
      <c r="L551">
        <v>2</v>
      </c>
      <c r="M551" s="1">
        <f>C551/$B551-1</f>
        <v>-1.0333333333333334</v>
      </c>
      <c r="N551" s="1">
        <f>D551/$B551-1</f>
        <v>-1.0655430711610487</v>
      </c>
      <c r="O551" s="1">
        <f>E551/$B551-1</f>
        <v>-1.1921348314606741</v>
      </c>
      <c r="P551">
        <f>_xlfn.RANK.EQ(M551,M$2:M$564)</f>
        <v>532</v>
      </c>
      <c r="Q551">
        <f>_xlfn.RANK.EQ(N551,N$2:N$564)</f>
        <v>533</v>
      </c>
      <c r="R551">
        <f>_xlfn.RANK.EQ(O551,O$2:O$564)</f>
        <v>554</v>
      </c>
      <c r="S551">
        <f>SUM(P551:R551)</f>
        <v>1619</v>
      </c>
      <c r="T551">
        <f>_xlfn.RANK.EQ(S551,S$2:S$564, 1)</f>
        <v>550</v>
      </c>
    </row>
    <row r="552" spans="1:20" x14ac:dyDescent="0.35">
      <c r="A552" t="s">
        <v>360</v>
      </c>
      <c r="B552">
        <v>145.93</v>
      </c>
      <c r="C552">
        <v>-12.66</v>
      </c>
      <c r="D552">
        <v>-25.11</v>
      </c>
      <c r="E552">
        <v>-1.57</v>
      </c>
      <c r="F552">
        <v>12.92</v>
      </c>
      <c r="G552">
        <v>2</v>
      </c>
      <c r="H552">
        <v>9</v>
      </c>
      <c r="I552">
        <v>15</v>
      </c>
      <c r="J552">
        <v>1</v>
      </c>
      <c r="K552">
        <v>5</v>
      </c>
      <c r="L552">
        <v>9</v>
      </c>
      <c r="M552" s="1">
        <f>C552/$B552-1</f>
        <v>-1.0867539231138217</v>
      </c>
      <c r="N552" s="1">
        <f>D552/$B552-1</f>
        <v>-1.1720688001096415</v>
      </c>
      <c r="O552" s="1">
        <f>E552/$B552-1</f>
        <v>-1.0107585828822039</v>
      </c>
      <c r="P552">
        <f>_xlfn.RANK.EQ(M552,M$2:M$564)</f>
        <v>541</v>
      </c>
      <c r="Q552">
        <f>_xlfn.RANK.EQ(N552,N$2:N$564)</f>
        <v>541</v>
      </c>
      <c r="R552">
        <f>_xlfn.RANK.EQ(O552,O$2:O$564)</f>
        <v>549</v>
      </c>
      <c r="S552">
        <f>SUM(P552:R552)</f>
        <v>1631</v>
      </c>
      <c r="T552">
        <f>_xlfn.RANK.EQ(S552,S$2:S$564, 1)</f>
        <v>551</v>
      </c>
    </row>
    <row r="553" spans="1:20" x14ac:dyDescent="0.35">
      <c r="A553" t="s">
        <v>360</v>
      </c>
      <c r="B553">
        <v>145.93</v>
      </c>
      <c r="C553">
        <v>-12.66</v>
      </c>
      <c r="D553">
        <v>-25.11</v>
      </c>
      <c r="E553">
        <v>-1.57</v>
      </c>
      <c r="F553">
        <v>12.92</v>
      </c>
      <c r="G553">
        <v>2</v>
      </c>
      <c r="H553">
        <v>9</v>
      </c>
      <c r="I553">
        <v>15</v>
      </c>
      <c r="J553">
        <v>1</v>
      </c>
      <c r="K553">
        <v>5</v>
      </c>
      <c r="L553">
        <v>9</v>
      </c>
      <c r="M553" s="1">
        <f>C553/$B553-1</f>
        <v>-1.0867539231138217</v>
      </c>
      <c r="N553" s="1">
        <f>D553/$B553-1</f>
        <v>-1.1720688001096415</v>
      </c>
      <c r="O553" s="1">
        <f>E553/$B553-1</f>
        <v>-1.0107585828822039</v>
      </c>
      <c r="P553">
        <f>_xlfn.RANK.EQ(M553,M$2:M$564)</f>
        <v>541</v>
      </c>
      <c r="Q553">
        <f>_xlfn.RANK.EQ(N553,N$2:N$564)</f>
        <v>541</v>
      </c>
      <c r="R553">
        <f>_xlfn.RANK.EQ(O553,O$2:O$564)</f>
        <v>549</v>
      </c>
      <c r="S553">
        <f>SUM(P553:R553)</f>
        <v>1631</v>
      </c>
      <c r="T553">
        <f>_xlfn.RANK.EQ(S553,S$2:S$564, 1)</f>
        <v>551</v>
      </c>
    </row>
    <row r="554" spans="1:20" x14ac:dyDescent="0.35">
      <c r="A554" t="s">
        <v>296</v>
      </c>
      <c r="B554">
        <v>12.1</v>
      </c>
      <c r="C554">
        <v>-30.82</v>
      </c>
      <c r="D554">
        <v>-33.770000000000003</v>
      </c>
      <c r="E554">
        <v>1.38</v>
      </c>
      <c r="F554">
        <v>18.600000000000001</v>
      </c>
      <c r="G554">
        <v>-2</v>
      </c>
      <c r="H554">
        <v>1</v>
      </c>
      <c r="I554">
        <v>5</v>
      </c>
      <c r="J554">
        <v>0</v>
      </c>
      <c r="K554">
        <v>0</v>
      </c>
      <c r="L554">
        <v>2</v>
      </c>
      <c r="M554" s="1">
        <f>C554/$B554-1</f>
        <v>-3.5471074380165288</v>
      </c>
      <c r="N554" s="1">
        <f>D554/$B554-1</f>
        <v>-3.7909090909090915</v>
      </c>
      <c r="O554" s="1">
        <f>E554/$B554-1</f>
        <v>-0.8859504132231405</v>
      </c>
      <c r="P554">
        <f>_xlfn.RANK.EQ(M554,M$2:M$564)</f>
        <v>563</v>
      </c>
      <c r="Q554">
        <f>_xlfn.RANK.EQ(N554,N$2:N$564)</f>
        <v>562</v>
      </c>
      <c r="R554">
        <f>_xlfn.RANK.EQ(O554,O$2:O$564)</f>
        <v>523</v>
      </c>
      <c r="S554">
        <f>SUM(P554:R554)</f>
        <v>1648</v>
      </c>
      <c r="T554">
        <f>_xlfn.RANK.EQ(S554,S$2:S$564, 1)</f>
        <v>553</v>
      </c>
    </row>
    <row r="555" spans="1:20" x14ac:dyDescent="0.35">
      <c r="A555" t="s">
        <v>376</v>
      </c>
      <c r="B555">
        <v>39.22</v>
      </c>
      <c r="C555">
        <v>-16.43</v>
      </c>
      <c r="D555">
        <v>-15.84</v>
      </c>
      <c r="E555">
        <v>-14.85</v>
      </c>
      <c r="F555">
        <v>15.82</v>
      </c>
      <c r="G555">
        <v>-3</v>
      </c>
      <c r="H555">
        <v>1</v>
      </c>
      <c r="I555">
        <v>5</v>
      </c>
      <c r="J555">
        <v>0</v>
      </c>
      <c r="K555">
        <v>0</v>
      </c>
      <c r="L555">
        <v>2</v>
      </c>
      <c r="M555" s="1">
        <f>C555/$B555-1</f>
        <v>-1.4189189189189189</v>
      </c>
      <c r="N555" s="1">
        <f>D555/$B555-1</f>
        <v>-1.4038755736868944</v>
      </c>
      <c r="O555" s="1">
        <f>E555/$B555-1</f>
        <v>-1.3786333503314636</v>
      </c>
      <c r="P555">
        <f>_xlfn.RANK.EQ(M555,M$2:M$564)</f>
        <v>550</v>
      </c>
      <c r="Q555">
        <f>_xlfn.RANK.EQ(N555,N$2:N$564)</f>
        <v>549</v>
      </c>
      <c r="R555">
        <f>_xlfn.RANK.EQ(O555,O$2:O$564)</f>
        <v>556</v>
      </c>
      <c r="S555">
        <f>SUM(P555:R555)</f>
        <v>1655</v>
      </c>
      <c r="T555">
        <f>_xlfn.RANK.EQ(S555,S$2:S$564, 1)</f>
        <v>554</v>
      </c>
    </row>
    <row r="556" spans="1:20" x14ac:dyDescent="0.35">
      <c r="A556" t="s">
        <v>260</v>
      </c>
      <c r="B556">
        <v>75.98</v>
      </c>
      <c r="C556">
        <v>-32.78</v>
      </c>
      <c r="D556">
        <v>-31.81</v>
      </c>
      <c r="E556">
        <v>-15.07</v>
      </c>
      <c r="F556">
        <v>17.84</v>
      </c>
      <c r="G556">
        <v>-3</v>
      </c>
      <c r="H556">
        <v>1</v>
      </c>
      <c r="I556">
        <v>5</v>
      </c>
      <c r="J556">
        <v>0</v>
      </c>
      <c r="K556">
        <v>0</v>
      </c>
      <c r="L556">
        <v>2</v>
      </c>
      <c r="M556" s="1">
        <f>C556/$B556-1</f>
        <v>-1.4314293235061859</v>
      </c>
      <c r="N556" s="1">
        <f>D556/$B556-1</f>
        <v>-1.4186628060015793</v>
      </c>
      <c r="O556" s="1">
        <f>E556/$B556-1</f>
        <v>-1.1983416688602264</v>
      </c>
      <c r="P556">
        <f>_xlfn.RANK.EQ(M556,M$2:M$564)</f>
        <v>551</v>
      </c>
      <c r="Q556">
        <f>_xlfn.RANK.EQ(N556,N$2:N$564)</f>
        <v>550</v>
      </c>
      <c r="R556">
        <f>_xlfn.RANK.EQ(O556,O$2:O$564)</f>
        <v>555</v>
      </c>
      <c r="S556">
        <f>SUM(P556:R556)</f>
        <v>1656</v>
      </c>
      <c r="T556">
        <f>_xlfn.RANK.EQ(S556,S$2:S$564, 1)</f>
        <v>555</v>
      </c>
    </row>
    <row r="557" spans="1:20" x14ac:dyDescent="0.35">
      <c r="A557" t="s">
        <v>36</v>
      </c>
      <c r="B557">
        <v>11.68</v>
      </c>
      <c r="C557">
        <v>-6.28</v>
      </c>
      <c r="D557">
        <v>-5.57</v>
      </c>
      <c r="E557">
        <v>-0.75</v>
      </c>
      <c r="F557">
        <v>16.440000000000001</v>
      </c>
      <c r="G557">
        <v>-3</v>
      </c>
      <c r="H557">
        <v>1</v>
      </c>
      <c r="I557">
        <v>5</v>
      </c>
      <c r="J557">
        <v>0</v>
      </c>
      <c r="K557">
        <v>0</v>
      </c>
      <c r="L557">
        <v>2</v>
      </c>
      <c r="M557" s="1">
        <f>C557/$B557-1</f>
        <v>-1.5376712328767124</v>
      </c>
      <c r="N557" s="1">
        <f>D557/$B557-1</f>
        <v>-1.4768835616438356</v>
      </c>
      <c r="O557" s="1">
        <f>E557/$B557-1</f>
        <v>-1.0642123287671232</v>
      </c>
      <c r="P557">
        <f>_xlfn.RANK.EQ(M557,M$2:M$564)</f>
        <v>555</v>
      </c>
      <c r="Q557">
        <f>_xlfn.RANK.EQ(N557,N$2:N$564)</f>
        <v>552</v>
      </c>
      <c r="R557">
        <f>_xlfn.RANK.EQ(O557,O$2:O$564)</f>
        <v>552</v>
      </c>
      <c r="S557">
        <f>SUM(P557:R557)</f>
        <v>1659</v>
      </c>
      <c r="T557">
        <f>_xlfn.RANK.EQ(S557,S$2:S$564, 1)</f>
        <v>556</v>
      </c>
    </row>
    <row r="558" spans="1:20" x14ac:dyDescent="0.35">
      <c r="A558" t="s">
        <v>130</v>
      </c>
      <c r="B558">
        <v>3.16</v>
      </c>
      <c r="C558">
        <v>-1.41</v>
      </c>
      <c r="D558">
        <v>-1.37</v>
      </c>
      <c r="E558">
        <v>-1.42</v>
      </c>
      <c r="F558">
        <v>16.190000000000001</v>
      </c>
      <c r="G558">
        <v>-1</v>
      </c>
      <c r="H558">
        <v>1</v>
      </c>
      <c r="I558">
        <v>5</v>
      </c>
      <c r="J558">
        <v>0</v>
      </c>
      <c r="K558">
        <v>0</v>
      </c>
      <c r="L558">
        <v>2</v>
      </c>
      <c r="M558" s="1">
        <f>C558/$B558-1</f>
        <v>-1.4462025316455696</v>
      </c>
      <c r="N558" s="1">
        <f>D558/$B558-1</f>
        <v>-1.4335443037974684</v>
      </c>
      <c r="O558" s="1">
        <f>E558/$B558-1</f>
        <v>-1.4493670886075949</v>
      </c>
      <c r="P558">
        <f>_xlfn.RANK.EQ(M558,M$2:M$564)</f>
        <v>552</v>
      </c>
      <c r="Q558">
        <f>_xlfn.RANK.EQ(N558,N$2:N$564)</f>
        <v>551</v>
      </c>
      <c r="R558">
        <f>_xlfn.RANK.EQ(O558,O$2:O$564)</f>
        <v>557</v>
      </c>
      <c r="S558">
        <f>SUM(P558:R558)</f>
        <v>1660</v>
      </c>
      <c r="T558">
        <f>_xlfn.RANK.EQ(S558,S$2:S$564, 1)</f>
        <v>557</v>
      </c>
    </row>
    <row r="559" spans="1:20" x14ac:dyDescent="0.35">
      <c r="A559" t="s">
        <v>346</v>
      </c>
      <c r="B559">
        <v>58.33</v>
      </c>
      <c r="C559">
        <v>-20.34</v>
      </c>
      <c r="D559">
        <v>-46.98</v>
      </c>
      <c r="E559">
        <v>-52.43</v>
      </c>
      <c r="F559">
        <v>14.63</v>
      </c>
      <c r="G559">
        <v>2</v>
      </c>
      <c r="H559">
        <v>10</v>
      </c>
      <c r="I559">
        <v>18</v>
      </c>
      <c r="J559">
        <v>0</v>
      </c>
      <c r="K559">
        <v>0</v>
      </c>
      <c r="L559">
        <v>2</v>
      </c>
      <c r="M559" s="1">
        <f>C559/$B559-1</f>
        <v>-1.3487056403223041</v>
      </c>
      <c r="N559" s="1">
        <f>D559/$B559-1</f>
        <v>-1.8054174524258528</v>
      </c>
      <c r="O559" s="1">
        <f>E559/$B559-1</f>
        <v>-1.8988513629350248</v>
      </c>
      <c r="P559">
        <f>_xlfn.RANK.EQ(M559,M$2:M$564)</f>
        <v>549</v>
      </c>
      <c r="Q559">
        <f>_xlfn.RANK.EQ(N559,N$2:N$564)</f>
        <v>558</v>
      </c>
      <c r="R559">
        <f>_xlfn.RANK.EQ(O559,O$2:O$564)</f>
        <v>559</v>
      </c>
      <c r="S559">
        <f>SUM(P559:R559)</f>
        <v>1666</v>
      </c>
      <c r="T559">
        <f>_xlfn.RANK.EQ(S559,S$2:S$564, 1)</f>
        <v>558</v>
      </c>
    </row>
    <row r="560" spans="1:20" x14ac:dyDescent="0.35">
      <c r="A560" t="s">
        <v>375</v>
      </c>
      <c r="B560">
        <v>4.41</v>
      </c>
      <c r="C560">
        <v>-1.53</v>
      </c>
      <c r="D560">
        <v>-3.13</v>
      </c>
      <c r="E560">
        <v>-16.239999999999998</v>
      </c>
      <c r="F560">
        <v>14.77</v>
      </c>
      <c r="G560">
        <v>2</v>
      </c>
      <c r="H560">
        <v>10</v>
      </c>
      <c r="I560">
        <v>18</v>
      </c>
      <c r="J560">
        <v>0</v>
      </c>
      <c r="K560">
        <v>0</v>
      </c>
      <c r="L560">
        <v>2</v>
      </c>
      <c r="M560" s="1">
        <f>C560/$B560-1</f>
        <v>-1.346938775510204</v>
      </c>
      <c r="N560" s="1">
        <f>D560/$B560-1</f>
        <v>-1.7097505668934239</v>
      </c>
      <c r="O560" s="1">
        <f>E560/$B560-1</f>
        <v>-4.6825396825396819</v>
      </c>
      <c r="P560">
        <f>_xlfn.RANK.EQ(M560,M$2:M$564)</f>
        <v>548</v>
      </c>
      <c r="Q560">
        <f>_xlfn.RANK.EQ(N560,N$2:N$564)</f>
        <v>556</v>
      </c>
      <c r="R560">
        <f>_xlfn.RANK.EQ(O560,O$2:O$564)</f>
        <v>562</v>
      </c>
      <c r="S560">
        <f>SUM(P560:R560)</f>
        <v>1666</v>
      </c>
      <c r="T560">
        <f>_xlfn.RANK.EQ(S560,S$2:S$564, 1)</f>
        <v>558</v>
      </c>
    </row>
    <row r="561" spans="1:20" x14ac:dyDescent="0.35">
      <c r="A561" t="s">
        <v>427</v>
      </c>
      <c r="B561">
        <v>2.81</v>
      </c>
      <c r="C561">
        <v>-1.72</v>
      </c>
      <c r="D561">
        <v>-1.45</v>
      </c>
      <c r="E561">
        <v>-2.62</v>
      </c>
      <c r="F561">
        <v>16.41</v>
      </c>
      <c r="G561">
        <v>-3</v>
      </c>
      <c r="H561">
        <v>1</v>
      </c>
      <c r="I561">
        <v>5</v>
      </c>
      <c r="J561">
        <v>0</v>
      </c>
      <c r="K561">
        <v>0</v>
      </c>
      <c r="L561">
        <v>2</v>
      </c>
      <c r="M561" s="1">
        <f>C561/$B561-1</f>
        <v>-1.6120996441281139</v>
      </c>
      <c r="N561" s="1">
        <f>D561/$B561-1</f>
        <v>-1.5160142348754448</v>
      </c>
      <c r="O561" s="1">
        <f>E561/$B561-1</f>
        <v>-1.9323843416370106</v>
      </c>
      <c r="P561">
        <f>_xlfn.RANK.EQ(M561,M$2:M$564)</f>
        <v>558</v>
      </c>
      <c r="Q561">
        <f>_xlfn.RANK.EQ(N561,N$2:N$564)</f>
        <v>553</v>
      </c>
      <c r="R561">
        <f>_xlfn.RANK.EQ(O561,O$2:O$564)</f>
        <v>560</v>
      </c>
      <c r="S561">
        <f>SUM(P561:R561)</f>
        <v>1671</v>
      </c>
      <c r="T561">
        <f>_xlfn.RANK.EQ(S561,S$2:S$564, 1)</f>
        <v>560</v>
      </c>
    </row>
    <row r="562" spans="1:20" x14ac:dyDescent="0.35">
      <c r="A562" t="s">
        <v>264</v>
      </c>
      <c r="B562">
        <v>67.8</v>
      </c>
      <c r="C562">
        <v>-64.95</v>
      </c>
      <c r="D562">
        <v>-64.55</v>
      </c>
      <c r="E562">
        <v>-50.25</v>
      </c>
      <c r="F562">
        <v>15.15</v>
      </c>
      <c r="G562">
        <v>-3</v>
      </c>
      <c r="H562">
        <v>1</v>
      </c>
      <c r="I562">
        <v>5</v>
      </c>
      <c r="J562">
        <v>0</v>
      </c>
      <c r="K562">
        <v>0</v>
      </c>
      <c r="L562">
        <v>2</v>
      </c>
      <c r="M562" s="1">
        <f>C562/$B562-1</f>
        <v>-1.9579646017699117</v>
      </c>
      <c r="N562" s="1">
        <f>D562/$B562-1</f>
        <v>-1.9520648967551621</v>
      </c>
      <c r="O562" s="1">
        <f>E562/$B562-1</f>
        <v>-1.7411504424778761</v>
      </c>
      <c r="P562">
        <f>_xlfn.RANK.EQ(M562,M$2:M$564)</f>
        <v>560</v>
      </c>
      <c r="Q562">
        <f>_xlfn.RANK.EQ(N562,N$2:N$564)</f>
        <v>559</v>
      </c>
      <c r="R562">
        <f>_xlfn.RANK.EQ(O562,O$2:O$564)</f>
        <v>558</v>
      </c>
      <c r="S562">
        <f>SUM(P562:R562)</f>
        <v>1677</v>
      </c>
      <c r="T562">
        <f>_xlfn.RANK.EQ(S562,S$2:S$564, 1)</f>
        <v>561</v>
      </c>
    </row>
    <row r="563" spans="1:20" x14ac:dyDescent="0.35">
      <c r="A563" t="s">
        <v>428</v>
      </c>
      <c r="B563">
        <v>4.08</v>
      </c>
      <c r="C563">
        <v>-3.86</v>
      </c>
      <c r="D563">
        <v>-6.81</v>
      </c>
      <c r="E563">
        <v>-26.84</v>
      </c>
      <c r="F563">
        <v>15.15</v>
      </c>
      <c r="G563">
        <v>2</v>
      </c>
      <c r="H563">
        <v>10</v>
      </c>
      <c r="I563">
        <v>18</v>
      </c>
      <c r="J563">
        <v>0</v>
      </c>
      <c r="K563">
        <v>0</v>
      </c>
      <c r="L563">
        <v>2</v>
      </c>
      <c r="M563" s="1">
        <f>C563/$B563-1</f>
        <v>-1.946078431372549</v>
      </c>
      <c r="N563" s="1">
        <f>D563/$B563-1</f>
        <v>-2.6691176470588234</v>
      </c>
      <c r="O563" s="1">
        <f>E563/$B563-1</f>
        <v>-7.5784313725490193</v>
      </c>
      <c r="P563">
        <f>_xlfn.RANK.EQ(M563,M$2:M$564)</f>
        <v>559</v>
      </c>
      <c r="Q563">
        <f>_xlfn.RANK.EQ(N563,N$2:N$564)</f>
        <v>560</v>
      </c>
      <c r="R563">
        <f>_xlfn.RANK.EQ(O563,O$2:O$564)</f>
        <v>563</v>
      </c>
      <c r="S563">
        <f>SUM(P563:R563)</f>
        <v>1682</v>
      </c>
      <c r="T563">
        <f>_xlfn.RANK.EQ(S563,S$2:S$564, 1)</f>
        <v>562</v>
      </c>
    </row>
    <row r="564" spans="1:20" x14ac:dyDescent="0.35">
      <c r="A564" t="s">
        <v>265</v>
      </c>
      <c r="B564">
        <v>25.32</v>
      </c>
      <c r="C564">
        <v>-50.05</v>
      </c>
      <c r="D564">
        <v>-53.1</v>
      </c>
      <c r="E564">
        <v>-72.760000000000005</v>
      </c>
      <c r="F564">
        <v>15.05</v>
      </c>
      <c r="G564">
        <v>2</v>
      </c>
      <c r="H564">
        <v>7</v>
      </c>
      <c r="I564">
        <v>13</v>
      </c>
      <c r="J564">
        <v>0</v>
      </c>
      <c r="K564">
        <v>0</v>
      </c>
      <c r="L564">
        <v>2</v>
      </c>
      <c r="M564" s="1">
        <f>C564/$B564-1</f>
        <v>-2.9766982622432856</v>
      </c>
      <c r="N564" s="1">
        <f>D564/$B564-1</f>
        <v>-3.0971563981042656</v>
      </c>
      <c r="O564" s="1">
        <f>E564/$B564-1</f>
        <v>-3.873617693522907</v>
      </c>
      <c r="P564">
        <f>_xlfn.RANK.EQ(M564,M$2:M$564)</f>
        <v>562</v>
      </c>
      <c r="Q564">
        <f>_xlfn.RANK.EQ(N564,N$2:N$564)</f>
        <v>561</v>
      </c>
      <c r="R564">
        <f>_xlfn.RANK.EQ(O564,O$2:O$564)</f>
        <v>561</v>
      </c>
      <c r="S564">
        <f>SUM(P564:R564)</f>
        <v>1684</v>
      </c>
      <c r="T564">
        <f>_xlfn.RANK.EQ(S564,S$2:S$564, 1)</f>
        <v>563</v>
      </c>
    </row>
    <row r="566" spans="1:20" x14ac:dyDescent="0.35">
      <c r="A566" t="s">
        <v>574</v>
      </c>
      <c r="B566" s="2"/>
      <c r="C566" s="2"/>
      <c r="D566" s="2"/>
      <c r="E566" s="2"/>
      <c r="F566" s="2">
        <f t="shared" ref="F566:O566" si="0">_xlfn.QUARTILE.EXC(F$2:F$564, 1)</f>
        <v>10.46</v>
      </c>
      <c r="G566" s="2"/>
      <c r="H566" s="2"/>
      <c r="I566" s="2"/>
      <c r="J566" s="2"/>
      <c r="K566" s="2"/>
      <c r="L566" s="2"/>
      <c r="M566" s="1">
        <f t="shared" si="0"/>
        <v>-0.82353170731707315</v>
      </c>
      <c r="N566" s="1">
        <f t="shared" si="0"/>
        <v>-0.75048122118268501</v>
      </c>
      <c r="O566" s="1">
        <f t="shared" si="0"/>
        <v>-0.37221560959020572</v>
      </c>
      <c r="S566" s="1">
        <f>_xlfn.QUARTILE.EXC(M$2:O$564, 1)</f>
        <v>-0.74432958433472995</v>
      </c>
    </row>
    <row r="567" spans="1:20" x14ac:dyDescent="0.35">
      <c r="A567" t="s">
        <v>575</v>
      </c>
      <c r="B567" s="2"/>
      <c r="C567" s="2"/>
      <c r="D567" s="2"/>
      <c r="E567" s="2"/>
      <c r="F567" s="2">
        <f t="shared" ref="F567:O567" si="1">_xlfn.QUARTILE.EXC(F$2:F$564, 2)</f>
        <v>11.67</v>
      </c>
      <c r="G567" s="2"/>
      <c r="H567" s="2"/>
      <c r="I567" s="2"/>
      <c r="J567" s="2"/>
      <c r="K567" s="2"/>
      <c r="L567" s="2"/>
      <c r="M567" s="1">
        <f t="shared" si="1"/>
        <v>-0.66429436705027256</v>
      </c>
      <c r="N567" s="1">
        <f t="shared" si="1"/>
        <v>-0.54185812751292362</v>
      </c>
      <c r="O567" s="1">
        <f t="shared" si="1"/>
        <v>0.17178832926558685</v>
      </c>
      <c r="S567" s="1">
        <f>_xlfn.QUARTILE.EXC(M$2:O$564, 2)</f>
        <v>-0.45773923269145966</v>
      </c>
    </row>
    <row r="568" spans="1:20" x14ac:dyDescent="0.35">
      <c r="A568" t="s">
        <v>576</v>
      </c>
      <c r="B568" s="2"/>
      <c r="C568" s="2"/>
      <c r="D568" s="2"/>
      <c r="E568" s="2"/>
      <c r="F568" s="2">
        <f t="shared" ref="F568:O568" si="2">_xlfn.QUARTILE.EXC(F$2:F$564, 3)</f>
        <v>12.8</v>
      </c>
      <c r="G568" s="2"/>
      <c r="H568" s="2"/>
      <c r="I568" s="2"/>
      <c r="J568" s="2"/>
      <c r="K568" s="2"/>
      <c r="L568" s="2"/>
      <c r="M568" s="1">
        <f t="shared" si="2"/>
        <v>-0.42195997947665476</v>
      </c>
      <c r="N568" s="1">
        <f t="shared" si="2"/>
        <v>-0.18971821897182195</v>
      </c>
      <c r="O568" s="1">
        <f t="shared" si="2"/>
        <v>1.3592988005799391</v>
      </c>
      <c r="S568" s="1">
        <f>_xlfn.QUARTILE.EXC(M$2:O$564, 3)</f>
        <v>0.10908540074495032</v>
      </c>
    </row>
    <row r="569" spans="1:20" x14ac:dyDescent="0.35">
      <c r="A569" t="s">
        <v>577</v>
      </c>
      <c r="B569" s="2"/>
      <c r="C569" s="2"/>
      <c r="D569" s="2"/>
      <c r="E569" s="2"/>
      <c r="F569" s="2">
        <f t="shared" ref="F569" si="3">F568-F566</f>
        <v>2.34</v>
      </c>
      <c r="G569" s="2"/>
      <c r="H569" s="2"/>
      <c r="I569" s="2"/>
      <c r="J569" s="2"/>
      <c r="K569" s="2"/>
      <c r="L569" s="2"/>
      <c r="M569" s="1">
        <f t="shared" ref="M569" si="4">M568-M566</f>
        <v>0.40157172784041839</v>
      </c>
      <c r="N569" s="1">
        <f t="shared" ref="N569" si="5">N568-N566</f>
        <v>0.56076300221086306</v>
      </c>
      <c r="O569" s="1">
        <f t="shared" ref="O569" si="6">O568-O566</f>
        <v>1.7315144101701447</v>
      </c>
      <c r="S569" s="1">
        <f>S568-S566</f>
        <v>0.85341498507968028</v>
      </c>
    </row>
    <row r="570" spans="1:20" x14ac:dyDescent="0.35">
      <c r="A570" t="s">
        <v>303</v>
      </c>
      <c r="B570" s="2"/>
      <c r="C570" s="2"/>
      <c r="D570" s="2"/>
      <c r="E570" s="2"/>
      <c r="F570" s="2">
        <f t="shared" ref="F570" si="7">F566-F569*1.5</f>
        <v>6.9500000000000011</v>
      </c>
      <c r="G570" s="2"/>
      <c r="H570" s="2"/>
      <c r="I570" s="2"/>
      <c r="J570" s="2"/>
      <c r="K570" s="2"/>
      <c r="L570" s="2"/>
      <c r="M570" s="1">
        <f t="shared" ref="M570" si="8">M566-M569*1.5</f>
        <v>-1.4258892990777008</v>
      </c>
      <c r="N570" s="1">
        <f t="shared" ref="N570" si="9">N566-N569*1.5</f>
        <v>-1.5916257244989795</v>
      </c>
      <c r="O570" s="1">
        <f t="shared" ref="O570" si="10">O566-O569*1.5</f>
        <v>-2.9694872248454227</v>
      </c>
      <c r="S570" s="1">
        <f>S566-S569*1.5</f>
        <v>-2.0244520619542503</v>
      </c>
    </row>
    <row r="571" spans="1:20" x14ac:dyDescent="0.35">
      <c r="A571" t="s">
        <v>578</v>
      </c>
      <c r="B571" s="2"/>
      <c r="C571" s="2"/>
      <c r="D571" s="2"/>
      <c r="E571" s="2"/>
      <c r="F571" s="2">
        <f t="shared" ref="F571" si="11">F568+F569*1.5</f>
        <v>16.310000000000002</v>
      </c>
      <c r="G571" s="2"/>
      <c r="H571" s="2"/>
      <c r="I571" s="2"/>
      <c r="J571" s="2"/>
      <c r="K571" s="2"/>
      <c r="L571" s="2"/>
      <c r="M571" s="1">
        <f t="shared" ref="M571:O571" si="12">M568+M569*1.5</f>
        <v>0.18039761228397289</v>
      </c>
      <c r="N571" s="1">
        <f t="shared" si="12"/>
        <v>0.65142628434447258</v>
      </c>
      <c r="O571" s="1">
        <f t="shared" si="12"/>
        <v>3.9565704158351562</v>
      </c>
      <c r="S571" s="1">
        <f>S568+S569*1.5</f>
        <v>1.3892078783644708</v>
      </c>
    </row>
    <row r="572" spans="1:20" x14ac:dyDescent="0.35">
      <c r="A572" t="s">
        <v>579</v>
      </c>
      <c r="B572" s="2"/>
      <c r="C572" s="2"/>
      <c r="D572" s="2"/>
      <c r="E572" s="2"/>
      <c r="F572" s="2">
        <f t="shared" ref="F572" si="13">AVERAGE(F2:F564)</f>
        <v>11.629023090586143</v>
      </c>
      <c r="G572" s="2"/>
      <c r="H572" s="2"/>
      <c r="I572" s="2"/>
      <c r="J572" s="2"/>
      <c r="K572" s="2"/>
      <c r="L572" s="2"/>
      <c r="M572" s="1">
        <f t="shared" ref="M572:O572" si="14">AVERAGE(M2:M564)</f>
        <v>-0.58792533296474547</v>
      </c>
      <c r="N572" s="1">
        <f t="shared" si="14"/>
        <v>-0.40315270846088402</v>
      </c>
      <c r="O572" s="1">
        <f t="shared" si="14"/>
        <v>1.178428601358354</v>
      </c>
      <c r="S572" s="1">
        <f>AVERAGE(M2:O564)</f>
        <v>6.2450186644241734E-2</v>
      </c>
    </row>
    <row r="573" spans="1:20" x14ac:dyDescent="0.35">
      <c r="A573" t="s">
        <v>580</v>
      </c>
      <c r="B573" s="2"/>
      <c r="C573" s="2"/>
      <c r="D573" s="2"/>
      <c r="E573" s="2"/>
      <c r="F573" s="2">
        <f t="shared" ref="F573" si="15">_xlfn.STDEV.S(F2:F564)</f>
        <v>2.6624281062921065</v>
      </c>
      <c r="G573" s="2"/>
      <c r="H573" s="2"/>
      <c r="I573" s="2"/>
      <c r="J573" s="2"/>
      <c r="K573" s="2"/>
      <c r="L573" s="2"/>
      <c r="M573" s="1">
        <f t="shared" ref="M573:O573" si="16">_xlfn.STDEV.S(M2:M564)</f>
        <v>0.47962430875211648</v>
      </c>
      <c r="N573" s="1">
        <f t="shared" si="16"/>
        <v>0.76381947279337714</v>
      </c>
      <c r="O573" s="1">
        <f t="shared" si="16"/>
        <v>4.669139529449903</v>
      </c>
      <c r="S573" s="1">
        <f>_xlfn.STDEV.S(M2:O564)</f>
        <v>2.8562112664851571</v>
      </c>
    </row>
    <row r="574" spans="1:20" x14ac:dyDescent="0.35">
      <c r="A574" t="s">
        <v>303</v>
      </c>
      <c r="B574" s="2"/>
      <c r="C574" s="2"/>
      <c r="D574" s="2"/>
      <c r="E574" s="2"/>
      <c r="F574" s="2">
        <f t="shared" ref="F574" si="17">F572-F573*2</f>
        <v>6.3041668780019302</v>
      </c>
      <c r="G574" s="2"/>
      <c r="H574" s="2"/>
      <c r="I574" s="2"/>
      <c r="J574" s="2"/>
      <c r="K574" s="2"/>
      <c r="L574" s="2"/>
      <c r="M574" s="1">
        <f t="shared" ref="M574" si="18">M572-M573*2</f>
        <v>-1.5471739504689785</v>
      </c>
      <c r="N574" s="1">
        <f t="shared" ref="N574" si="19">N572-N573*2</f>
        <v>-1.9307916540476384</v>
      </c>
      <c r="O574" s="1">
        <f t="shared" ref="O574" si="20">O572-O573*2</f>
        <v>-8.1598504575414523</v>
      </c>
      <c r="S574" s="1">
        <f t="shared" ref="S574" si="21">S572-S573*2</f>
        <v>-5.6499723463260727</v>
      </c>
    </row>
    <row r="575" spans="1:20" x14ac:dyDescent="0.35">
      <c r="A575" t="s">
        <v>578</v>
      </c>
      <c r="B575" s="2"/>
      <c r="C575" s="2"/>
      <c r="D575" s="2"/>
      <c r="E575" s="2"/>
      <c r="F575" s="2">
        <f t="shared" ref="F575" si="22">F572+F573*2</f>
        <v>16.953879303170357</v>
      </c>
      <c r="G575" s="2"/>
      <c r="H575" s="2"/>
      <c r="I575" s="2"/>
      <c r="J575" s="2"/>
      <c r="K575" s="2"/>
      <c r="L575" s="2"/>
      <c r="M575" s="1">
        <f t="shared" ref="M575:O575" si="23">M572+M573*2</f>
        <v>0.37132328453948749</v>
      </c>
      <c r="N575" s="1">
        <f t="shared" si="23"/>
        <v>1.1244862371258701</v>
      </c>
      <c r="O575" s="1">
        <f t="shared" si="23"/>
        <v>10.51670766025816</v>
      </c>
      <c r="S575" s="1">
        <f t="shared" ref="S575" si="24">S572+S573*2</f>
        <v>5.7748727196145557</v>
      </c>
    </row>
  </sheetData>
  <sortState xmlns:xlrd2="http://schemas.microsoft.com/office/spreadsheetml/2017/richdata2" ref="A2:T564">
    <sortCondition ref="T1:T564"/>
  </sortState>
  <conditionalFormatting sqref="M2:O564">
    <cfRule type="cellIs" dxfId="1" priority="2" stopIfTrue="1" operator="greaterThan">
      <formula>$S$575</formula>
    </cfRule>
    <cfRule type="cellIs" dxfId="0" priority="3" operator="greaterThan">
      <formula>$S$571</formula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 Swift 5</cp:lastModifiedBy>
  <dcterms:created xsi:type="dcterms:W3CDTF">2025-09-14T11:12:25Z</dcterms:created>
  <dcterms:modified xsi:type="dcterms:W3CDTF">2025-09-14T11:30:22Z</dcterms:modified>
</cp:coreProperties>
</file>