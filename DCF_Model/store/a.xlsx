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Q_Models\DCF_Model\store\"/>
    </mc:Choice>
  </mc:AlternateContent>
  <xr:revisionPtr revIDLastSave="0" documentId="13_ncr:1_{000E6E3F-9FD1-4FA8-BE0F-323F0ACDFCCB}" xr6:coauthVersionLast="47" xr6:coauthVersionMax="47" xr10:uidLastSave="{00000000-0000-0000-0000-000000000000}"/>
  <bookViews>
    <workbookView xWindow="-110" yWindow="-110" windowWidth="19420" windowHeight="12220" xr2:uid="{C48EEF61-B912-4F68-B499-36C94258BA51}"/>
  </bookViews>
  <sheets>
    <sheet name="factor_sc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69" i="1" l="1"/>
  <c r="U568" i="1"/>
  <c r="U567" i="1"/>
  <c r="U566" i="1"/>
  <c r="U3" i="1" a="1"/>
  <c r="U3" i="1" s="1"/>
  <c r="U4" i="1" a="1"/>
  <c r="U4" i="1" s="1"/>
  <c r="U5" i="1" a="1"/>
  <c r="U5" i="1" s="1"/>
  <c r="U6" i="1" a="1"/>
  <c r="U6" i="1" s="1"/>
  <c r="U7" i="1" a="1"/>
  <c r="U7" i="1"/>
  <c r="U8" i="1" a="1"/>
  <c r="U8" i="1" s="1"/>
  <c r="U9" i="1" a="1"/>
  <c r="U9" i="1"/>
  <c r="U10" i="1" a="1"/>
  <c r="U10" i="1"/>
  <c r="U11" i="1" a="1"/>
  <c r="U11" i="1" s="1"/>
  <c r="U12" i="1" a="1"/>
  <c r="U12" i="1" s="1"/>
  <c r="U13" i="1" a="1"/>
  <c r="U13" i="1" s="1"/>
  <c r="U14" i="1" a="1"/>
  <c r="U14" i="1" s="1"/>
  <c r="U15" i="1" a="1"/>
  <c r="U15" i="1" s="1"/>
  <c r="U16" i="1" a="1"/>
  <c r="U16" i="1" s="1"/>
  <c r="U17" i="1" a="1"/>
  <c r="U17" i="1"/>
  <c r="U18" i="1" a="1"/>
  <c r="U18" i="1"/>
  <c r="U19" i="1" a="1"/>
  <c r="U19" i="1" s="1"/>
  <c r="U20" i="1" a="1"/>
  <c r="U20" i="1" s="1"/>
  <c r="U21" i="1" a="1"/>
  <c r="U21" i="1" s="1"/>
  <c r="U22" i="1" a="1"/>
  <c r="U22" i="1" s="1"/>
  <c r="U23" i="1" a="1"/>
  <c r="U23" i="1" s="1"/>
  <c r="U24" i="1" a="1"/>
  <c r="U24" i="1" s="1"/>
  <c r="U25" i="1" a="1"/>
  <c r="U25" i="1"/>
  <c r="U26" i="1" a="1"/>
  <c r="U26" i="1"/>
  <c r="U27" i="1" a="1"/>
  <c r="U27" i="1" s="1"/>
  <c r="U28" i="1" a="1"/>
  <c r="U28" i="1" s="1"/>
  <c r="U29" i="1" a="1"/>
  <c r="U29" i="1" s="1"/>
  <c r="U30" i="1" a="1"/>
  <c r="U30" i="1" s="1"/>
  <c r="U31" i="1" a="1"/>
  <c r="U31" i="1" s="1"/>
  <c r="U32" i="1" a="1"/>
  <c r="U32" i="1" s="1"/>
  <c r="U33" i="1" a="1"/>
  <c r="U33" i="1"/>
  <c r="U34" i="1" a="1"/>
  <c r="U34" i="1"/>
  <c r="U35" i="1" a="1"/>
  <c r="U35" i="1" s="1"/>
  <c r="U36" i="1" a="1"/>
  <c r="U36" i="1" s="1"/>
  <c r="U37" i="1" a="1"/>
  <c r="U37" i="1" s="1"/>
  <c r="U38" i="1" a="1"/>
  <c r="U38" i="1" s="1"/>
  <c r="U39" i="1" a="1"/>
  <c r="U39" i="1" s="1"/>
  <c r="U40" i="1" a="1"/>
  <c r="U40" i="1" s="1"/>
  <c r="U41" i="1" a="1"/>
  <c r="U41" i="1"/>
  <c r="U42" i="1" a="1"/>
  <c r="U42" i="1"/>
  <c r="U43" i="1" a="1"/>
  <c r="U43" i="1" s="1"/>
  <c r="U44" i="1" a="1"/>
  <c r="U44" i="1" s="1"/>
  <c r="U45" i="1" a="1"/>
  <c r="U45" i="1" s="1"/>
  <c r="U46" i="1" a="1"/>
  <c r="U46" i="1" s="1"/>
  <c r="U47" i="1" a="1"/>
  <c r="U47" i="1" s="1"/>
  <c r="U48" i="1" a="1"/>
  <c r="U48" i="1" s="1"/>
  <c r="U49" i="1" a="1"/>
  <c r="U49" i="1"/>
  <c r="U50" i="1" a="1"/>
  <c r="U50" i="1"/>
  <c r="U51" i="1" a="1"/>
  <c r="U51" i="1" s="1"/>
  <c r="U52" i="1" a="1"/>
  <c r="U52" i="1" s="1"/>
  <c r="U53" i="1" a="1"/>
  <c r="U53" i="1" s="1"/>
  <c r="U54" i="1" a="1"/>
  <c r="U54" i="1" s="1"/>
  <c r="U55" i="1" a="1"/>
  <c r="U55" i="1" s="1"/>
  <c r="U56" i="1" a="1"/>
  <c r="U56" i="1" s="1"/>
  <c r="U57" i="1" a="1"/>
  <c r="U57" i="1"/>
  <c r="U58" i="1" a="1"/>
  <c r="U58" i="1"/>
  <c r="U59" i="1" a="1"/>
  <c r="U59" i="1" s="1"/>
  <c r="U60" i="1" a="1"/>
  <c r="U60" i="1" s="1"/>
  <c r="U61" i="1" a="1"/>
  <c r="U61" i="1" s="1"/>
  <c r="U62" i="1" a="1"/>
  <c r="U62" i="1" s="1"/>
  <c r="U63" i="1" a="1"/>
  <c r="U63" i="1" s="1"/>
  <c r="U64" i="1" a="1"/>
  <c r="U64" i="1" s="1"/>
  <c r="U65" i="1" a="1"/>
  <c r="U65" i="1"/>
  <c r="U66" i="1" a="1"/>
  <c r="U66" i="1"/>
  <c r="U67" i="1" a="1"/>
  <c r="U67" i="1" s="1"/>
  <c r="U68" i="1" a="1"/>
  <c r="U68" i="1" s="1"/>
  <c r="U69" i="1" a="1"/>
  <c r="U69" i="1" s="1"/>
  <c r="U70" i="1" a="1"/>
  <c r="U70" i="1" s="1"/>
  <c r="U71" i="1" a="1"/>
  <c r="U71" i="1" s="1"/>
  <c r="U72" i="1" a="1"/>
  <c r="U72" i="1" s="1"/>
  <c r="U73" i="1" a="1"/>
  <c r="U73" i="1"/>
  <c r="U74" i="1" a="1"/>
  <c r="U74" i="1"/>
  <c r="U75" i="1" a="1"/>
  <c r="U75" i="1" s="1"/>
  <c r="U76" i="1" a="1"/>
  <c r="U76" i="1" s="1"/>
  <c r="U77" i="1" a="1"/>
  <c r="U77" i="1" s="1"/>
  <c r="U78" i="1" a="1"/>
  <c r="U78" i="1" s="1"/>
  <c r="U79" i="1" a="1"/>
  <c r="U79" i="1" s="1"/>
  <c r="U80" i="1" a="1"/>
  <c r="U80" i="1" s="1"/>
  <c r="U81" i="1" a="1"/>
  <c r="U81" i="1"/>
  <c r="U82" i="1" a="1"/>
  <c r="U82" i="1"/>
  <c r="U83" i="1" a="1"/>
  <c r="U83" i="1" s="1"/>
  <c r="U84" i="1" a="1"/>
  <c r="U84" i="1" s="1"/>
  <c r="U85" i="1" a="1"/>
  <c r="U85" i="1" s="1"/>
  <c r="U86" i="1" a="1"/>
  <c r="U86" i="1" s="1"/>
  <c r="U87" i="1" a="1"/>
  <c r="U87" i="1" s="1"/>
  <c r="U88" i="1" a="1"/>
  <c r="U88" i="1" s="1"/>
  <c r="U89" i="1" a="1"/>
  <c r="U89" i="1"/>
  <c r="U90" i="1" a="1"/>
  <c r="U90" i="1"/>
  <c r="U91" i="1" a="1"/>
  <c r="U91" i="1" s="1"/>
  <c r="U92" i="1" a="1"/>
  <c r="U92" i="1" s="1"/>
  <c r="U93" i="1" a="1"/>
  <c r="U93" i="1" s="1"/>
  <c r="U94" i="1" a="1"/>
  <c r="U94" i="1" s="1"/>
  <c r="U95" i="1" a="1"/>
  <c r="U95" i="1" s="1"/>
  <c r="U96" i="1" a="1"/>
  <c r="U96" i="1" s="1"/>
  <c r="U97" i="1" a="1"/>
  <c r="U97" i="1"/>
  <c r="U98" i="1" a="1"/>
  <c r="U98" i="1"/>
  <c r="U99" i="1" a="1"/>
  <c r="U99" i="1" s="1"/>
  <c r="U100" i="1" a="1"/>
  <c r="U100" i="1" s="1"/>
  <c r="U101" i="1" a="1"/>
  <c r="U101" i="1" s="1"/>
  <c r="U102" i="1" a="1"/>
  <c r="U102" i="1" s="1"/>
  <c r="U103" i="1" a="1"/>
  <c r="U103" i="1" s="1"/>
  <c r="U104" i="1" a="1"/>
  <c r="U104" i="1" s="1"/>
  <c r="U105" i="1" a="1"/>
  <c r="U105" i="1"/>
  <c r="U106" i="1" a="1"/>
  <c r="U106" i="1"/>
  <c r="U107" i="1" a="1"/>
  <c r="U107" i="1" s="1"/>
  <c r="U108" i="1" a="1"/>
  <c r="U108" i="1" s="1"/>
  <c r="U109" i="1" a="1"/>
  <c r="U109" i="1" s="1"/>
  <c r="U110" i="1" a="1"/>
  <c r="U110" i="1" s="1"/>
  <c r="U111" i="1" a="1"/>
  <c r="U111" i="1" s="1"/>
  <c r="U112" i="1" a="1"/>
  <c r="U112" i="1" s="1"/>
  <c r="U113" i="1" a="1"/>
  <c r="U113" i="1"/>
  <c r="U114" i="1" a="1"/>
  <c r="U114" i="1"/>
  <c r="U115" i="1" a="1"/>
  <c r="U115" i="1" s="1"/>
  <c r="U116" i="1" a="1"/>
  <c r="U116" i="1" s="1"/>
  <c r="U117" i="1" a="1"/>
  <c r="U117" i="1" s="1"/>
  <c r="U118" i="1" a="1"/>
  <c r="U118" i="1" s="1"/>
  <c r="U119" i="1" a="1"/>
  <c r="U119" i="1" s="1"/>
  <c r="U120" i="1" a="1"/>
  <c r="U120" i="1" s="1"/>
  <c r="U121" i="1" a="1"/>
  <c r="U121" i="1"/>
  <c r="U122" i="1" a="1"/>
  <c r="U122" i="1"/>
  <c r="U123" i="1" a="1"/>
  <c r="U123" i="1" s="1"/>
  <c r="U124" i="1" a="1"/>
  <c r="U124" i="1" s="1"/>
  <c r="U125" i="1" a="1"/>
  <c r="U125" i="1" s="1"/>
  <c r="U126" i="1" a="1"/>
  <c r="U126" i="1" s="1"/>
  <c r="U127" i="1" a="1"/>
  <c r="U127" i="1" s="1"/>
  <c r="U128" i="1" a="1"/>
  <c r="U128" i="1" s="1"/>
  <c r="U129" i="1" a="1"/>
  <c r="U129" i="1"/>
  <c r="U130" i="1" a="1"/>
  <c r="U130" i="1"/>
  <c r="U131" i="1" a="1"/>
  <c r="U131" i="1" s="1"/>
  <c r="U132" i="1" a="1"/>
  <c r="U132" i="1" s="1"/>
  <c r="U133" i="1" a="1"/>
  <c r="U133" i="1" s="1"/>
  <c r="U134" i="1" a="1"/>
  <c r="U134" i="1" s="1"/>
  <c r="U135" i="1" a="1"/>
  <c r="U135" i="1" s="1"/>
  <c r="U136" i="1" a="1"/>
  <c r="U136" i="1" s="1"/>
  <c r="U137" i="1" a="1"/>
  <c r="U137" i="1"/>
  <c r="U138" i="1" a="1"/>
  <c r="U138" i="1"/>
  <c r="U139" i="1" a="1"/>
  <c r="U139" i="1" s="1"/>
  <c r="U140" i="1" a="1"/>
  <c r="U140" i="1" s="1"/>
  <c r="U141" i="1" a="1"/>
  <c r="U141" i="1" s="1"/>
  <c r="U142" i="1" a="1"/>
  <c r="U142" i="1" s="1"/>
  <c r="U143" i="1" a="1"/>
  <c r="U143" i="1" s="1"/>
  <c r="U144" i="1" a="1"/>
  <c r="U144" i="1" s="1"/>
  <c r="U145" i="1" a="1"/>
  <c r="U145" i="1"/>
  <c r="U146" i="1" a="1"/>
  <c r="U146" i="1"/>
  <c r="U147" i="1" a="1"/>
  <c r="U147" i="1" s="1"/>
  <c r="U148" i="1" a="1"/>
  <c r="U148" i="1" s="1"/>
  <c r="U149" i="1" a="1"/>
  <c r="U149" i="1" s="1"/>
  <c r="U150" i="1" a="1"/>
  <c r="U150" i="1" s="1"/>
  <c r="U151" i="1" a="1"/>
  <c r="U151" i="1" s="1"/>
  <c r="U152" i="1" a="1"/>
  <c r="U152" i="1" s="1"/>
  <c r="U153" i="1" a="1"/>
  <c r="U153" i="1"/>
  <c r="U154" i="1" a="1"/>
  <c r="U154" i="1"/>
  <c r="U155" i="1" a="1"/>
  <c r="U155" i="1" s="1"/>
  <c r="U156" i="1" a="1"/>
  <c r="U156" i="1" s="1"/>
  <c r="U157" i="1" a="1"/>
  <c r="U157" i="1" s="1"/>
  <c r="U158" i="1" a="1"/>
  <c r="U158" i="1" s="1"/>
  <c r="U159" i="1" a="1"/>
  <c r="U159" i="1" s="1"/>
  <c r="U160" i="1" a="1"/>
  <c r="U160" i="1" s="1"/>
  <c r="U161" i="1" a="1"/>
  <c r="U161" i="1"/>
  <c r="U162" i="1" a="1"/>
  <c r="U162" i="1"/>
  <c r="U163" i="1" a="1"/>
  <c r="U163" i="1" s="1"/>
  <c r="U164" i="1" a="1"/>
  <c r="U164" i="1" s="1"/>
  <c r="U165" i="1" a="1"/>
  <c r="U165" i="1" s="1"/>
  <c r="U166" i="1" a="1"/>
  <c r="U166" i="1" s="1"/>
  <c r="U167" i="1" a="1"/>
  <c r="U167" i="1" s="1"/>
  <c r="U168" i="1" a="1"/>
  <c r="U168" i="1" s="1"/>
  <c r="U169" i="1" a="1"/>
  <c r="U169" i="1"/>
  <c r="U170" i="1" a="1"/>
  <c r="U170" i="1"/>
  <c r="U171" i="1" a="1"/>
  <c r="U171" i="1" s="1"/>
  <c r="U172" i="1" a="1"/>
  <c r="U172" i="1" s="1"/>
  <c r="U173" i="1" a="1"/>
  <c r="U173" i="1" s="1"/>
  <c r="U174" i="1" a="1"/>
  <c r="U174" i="1" s="1"/>
  <c r="U175" i="1" a="1"/>
  <c r="U175" i="1" s="1"/>
  <c r="U176" i="1" a="1"/>
  <c r="U176" i="1" s="1"/>
  <c r="U177" i="1" a="1"/>
  <c r="U177" i="1"/>
  <c r="U178" i="1" a="1"/>
  <c r="U178" i="1"/>
  <c r="U179" i="1" a="1"/>
  <c r="U179" i="1" s="1"/>
  <c r="U180" i="1" a="1"/>
  <c r="U180" i="1" s="1"/>
  <c r="U181" i="1" a="1"/>
  <c r="U181" i="1" s="1"/>
  <c r="U182" i="1" a="1"/>
  <c r="U182" i="1" s="1"/>
  <c r="U183" i="1" a="1"/>
  <c r="U183" i="1" s="1"/>
  <c r="U184" i="1" a="1"/>
  <c r="U184" i="1" s="1"/>
  <c r="U185" i="1" a="1"/>
  <c r="U185" i="1"/>
  <c r="U186" i="1" a="1"/>
  <c r="U186" i="1"/>
  <c r="U187" i="1" a="1"/>
  <c r="U187" i="1" s="1"/>
  <c r="U188" i="1" a="1"/>
  <c r="U188" i="1" s="1"/>
  <c r="U189" i="1" a="1"/>
  <c r="U189" i="1" s="1"/>
  <c r="U190" i="1" a="1"/>
  <c r="U190" i="1" s="1"/>
  <c r="U191" i="1" a="1"/>
  <c r="U191" i="1" s="1"/>
  <c r="U192" i="1" a="1"/>
  <c r="U192" i="1" s="1"/>
  <c r="U193" i="1" a="1"/>
  <c r="U193" i="1"/>
  <c r="U194" i="1" a="1"/>
  <c r="U194" i="1"/>
  <c r="U195" i="1" a="1"/>
  <c r="U195" i="1" s="1"/>
  <c r="U196" i="1" a="1"/>
  <c r="U196" i="1" s="1"/>
  <c r="U197" i="1" a="1"/>
  <c r="U197" i="1" s="1"/>
  <c r="U198" i="1" a="1"/>
  <c r="U198" i="1" s="1"/>
  <c r="U199" i="1" a="1"/>
  <c r="U199" i="1" s="1"/>
  <c r="U200" i="1" a="1"/>
  <c r="U200" i="1" s="1"/>
  <c r="U201" i="1" a="1"/>
  <c r="U201" i="1"/>
  <c r="U202" i="1" a="1"/>
  <c r="U202" i="1"/>
  <c r="U203" i="1" a="1"/>
  <c r="U203" i="1" s="1"/>
  <c r="U204" i="1" a="1"/>
  <c r="U204" i="1" s="1"/>
  <c r="U205" i="1" a="1"/>
  <c r="U205" i="1" s="1"/>
  <c r="U206" i="1" a="1"/>
  <c r="U206" i="1" s="1"/>
  <c r="U207" i="1" a="1"/>
  <c r="U207" i="1" s="1"/>
  <c r="U208" i="1" a="1"/>
  <c r="U208" i="1" s="1"/>
  <c r="U209" i="1" a="1"/>
  <c r="U209" i="1"/>
  <c r="U210" i="1" a="1"/>
  <c r="U210" i="1"/>
  <c r="U211" i="1" a="1"/>
  <c r="U211" i="1" s="1"/>
  <c r="U212" i="1" a="1"/>
  <c r="U212" i="1" s="1"/>
  <c r="U213" i="1" a="1"/>
  <c r="U213" i="1" s="1"/>
  <c r="U214" i="1" a="1"/>
  <c r="U214" i="1" s="1"/>
  <c r="U215" i="1" a="1"/>
  <c r="U215" i="1" s="1"/>
  <c r="U216" i="1" a="1"/>
  <c r="U216" i="1" s="1"/>
  <c r="U217" i="1" a="1"/>
  <c r="U217" i="1"/>
  <c r="U218" i="1" a="1"/>
  <c r="U218" i="1"/>
  <c r="U219" i="1" a="1"/>
  <c r="U219" i="1" s="1"/>
  <c r="U220" i="1" a="1"/>
  <c r="U220" i="1" s="1"/>
  <c r="U221" i="1" a="1"/>
  <c r="U221" i="1" s="1"/>
  <c r="U222" i="1" a="1"/>
  <c r="U222" i="1" s="1"/>
  <c r="U223" i="1" a="1"/>
  <c r="U223" i="1" s="1"/>
  <c r="U224" i="1" a="1"/>
  <c r="U224" i="1" s="1"/>
  <c r="U225" i="1" a="1"/>
  <c r="U225" i="1"/>
  <c r="U226" i="1" a="1"/>
  <c r="U226" i="1"/>
  <c r="U227" i="1" a="1"/>
  <c r="U227" i="1" s="1"/>
  <c r="U228" i="1" a="1"/>
  <c r="U228" i="1" s="1"/>
  <c r="U229" i="1" a="1"/>
  <c r="U229" i="1" s="1"/>
  <c r="U230" i="1" a="1"/>
  <c r="U230" i="1" s="1"/>
  <c r="U231" i="1" a="1"/>
  <c r="U231" i="1" s="1"/>
  <c r="U232" i="1" a="1"/>
  <c r="U232" i="1" s="1"/>
  <c r="U233" i="1" a="1"/>
  <c r="U233" i="1"/>
  <c r="U234" i="1" a="1"/>
  <c r="U234" i="1"/>
  <c r="U235" i="1" a="1"/>
  <c r="U235" i="1" s="1"/>
  <c r="U236" i="1" a="1"/>
  <c r="U236" i="1" s="1"/>
  <c r="U237" i="1" a="1"/>
  <c r="U237" i="1" s="1"/>
  <c r="U238" i="1" a="1"/>
  <c r="U238" i="1" s="1"/>
  <c r="U239" i="1" a="1"/>
  <c r="U239" i="1" s="1"/>
  <c r="U240" i="1" a="1"/>
  <c r="U240" i="1" s="1"/>
  <c r="U241" i="1" a="1"/>
  <c r="U241" i="1"/>
  <c r="U242" i="1" a="1"/>
  <c r="U242" i="1"/>
  <c r="U243" i="1" a="1"/>
  <c r="U243" i="1" s="1"/>
  <c r="U244" i="1" a="1"/>
  <c r="U244" i="1" s="1"/>
  <c r="U245" i="1" a="1"/>
  <c r="U245" i="1" s="1"/>
  <c r="U246" i="1" a="1"/>
  <c r="U246" i="1" s="1"/>
  <c r="U247" i="1" a="1"/>
  <c r="U247" i="1" s="1"/>
  <c r="U248" i="1" a="1"/>
  <c r="U248" i="1" s="1"/>
  <c r="U249" i="1" a="1"/>
  <c r="U249" i="1"/>
  <c r="U250" i="1" a="1"/>
  <c r="U250" i="1"/>
  <c r="U251" i="1" a="1"/>
  <c r="U251" i="1" s="1"/>
  <c r="U252" i="1" a="1"/>
  <c r="U252" i="1" s="1"/>
  <c r="U253" i="1" a="1"/>
  <c r="U253" i="1" s="1"/>
  <c r="U254" i="1" a="1"/>
  <c r="U254" i="1" s="1"/>
  <c r="U255" i="1" a="1"/>
  <c r="U255" i="1" s="1"/>
  <c r="U256" i="1" a="1"/>
  <c r="U256" i="1" s="1"/>
  <c r="U257" i="1" a="1"/>
  <c r="U257" i="1"/>
  <c r="U258" i="1" a="1"/>
  <c r="U258" i="1"/>
  <c r="U259" i="1" a="1"/>
  <c r="U259" i="1" s="1"/>
  <c r="U260" i="1" a="1"/>
  <c r="U260" i="1" s="1"/>
  <c r="U261" i="1" a="1"/>
  <c r="U261" i="1" s="1"/>
  <c r="U262" i="1" a="1"/>
  <c r="U262" i="1" s="1"/>
  <c r="U263" i="1" a="1"/>
  <c r="U263" i="1" s="1"/>
  <c r="U264" i="1" a="1"/>
  <c r="U264" i="1" s="1"/>
  <c r="U265" i="1" a="1"/>
  <c r="U265" i="1"/>
  <c r="U266" i="1" a="1"/>
  <c r="U266" i="1"/>
  <c r="U267" i="1" a="1"/>
  <c r="U267" i="1" s="1"/>
  <c r="U268" i="1" a="1"/>
  <c r="U268" i="1" s="1"/>
  <c r="U269" i="1" a="1"/>
  <c r="U269" i="1" s="1"/>
  <c r="U270" i="1" a="1"/>
  <c r="U270" i="1" s="1"/>
  <c r="U271" i="1" a="1"/>
  <c r="U271" i="1" s="1"/>
  <c r="U272" i="1" a="1"/>
  <c r="U272" i="1" s="1"/>
  <c r="U273" i="1" a="1"/>
  <c r="U273" i="1"/>
  <c r="U274" i="1" a="1"/>
  <c r="U274" i="1"/>
  <c r="U275" i="1" a="1"/>
  <c r="U275" i="1" s="1"/>
  <c r="U276" i="1" a="1"/>
  <c r="U276" i="1" s="1"/>
  <c r="U277" i="1" a="1"/>
  <c r="U277" i="1" s="1"/>
  <c r="U278" i="1" a="1"/>
  <c r="U278" i="1" s="1"/>
  <c r="U279" i="1" a="1"/>
  <c r="U279" i="1" s="1"/>
  <c r="U280" i="1" a="1"/>
  <c r="U280" i="1" s="1"/>
  <c r="U281" i="1" a="1"/>
  <c r="U281" i="1"/>
  <c r="U282" i="1" a="1"/>
  <c r="U282" i="1"/>
  <c r="U283" i="1" a="1"/>
  <c r="U283" i="1" s="1"/>
  <c r="U284" i="1" a="1"/>
  <c r="U284" i="1" s="1"/>
  <c r="U285" i="1" a="1"/>
  <c r="U285" i="1" s="1"/>
  <c r="U286" i="1" a="1"/>
  <c r="U286" i="1" s="1"/>
  <c r="U287" i="1" a="1"/>
  <c r="U287" i="1" s="1"/>
  <c r="U288" i="1" a="1"/>
  <c r="U288" i="1" s="1"/>
  <c r="U289" i="1" a="1"/>
  <c r="U289" i="1"/>
  <c r="U290" i="1" a="1"/>
  <c r="U290" i="1"/>
  <c r="U291" i="1" a="1"/>
  <c r="U291" i="1" s="1"/>
  <c r="U292" i="1" a="1"/>
  <c r="U292" i="1" s="1"/>
  <c r="U293" i="1" a="1"/>
  <c r="U293" i="1" s="1"/>
  <c r="U294" i="1" a="1"/>
  <c r="U294" i="1" s="1"/>
  <c r="U295" i="1" a="1"/>
  <c r="U295" i="1" s="1"/>
  <c r="U296" i="1" a="1"/>
  <c r="U296" i="1" s="1"/>
  <c r="U297" i="1" a="1"/>
  <c r="U297" i="1"/>
  <c r="U298" i="1" a="1"/>
  <c r="U298" i="1"/>
  <c r="U299" i="1" a="1"/>
  <c r="U299" i="1" s="1"/>
  <c r="U300" i="1" a="1"/>
  <c r="U300" i="1" s="1"/>
  <c r="U301" i="1" a="1"/>
  <c r="U301" i="1" s="1"/>
  <c r="U302" i="1" a="1"/>
  <c r="U302" i="1" s="1"/>
  <c r="U303" i="1" a="1"/>
  <c r="U303" i="1" s="1"/>
  <c r="U304" i="1" a="1"/>
  <c r="U304" i="1" s="1"/>
  <c r="U305" i="1" a="1"/>
  <c r="U305" i="1"/>
  <c r="U306" i="1" a="1"/>
  <c r="U306" i="1"/>
  <c r="U307" i="1" a="1"/>
  <c r="U307" i="1" s="1"/>
  <c r="U308" i="1" a="1"/>
  <c r="U308" i="1" s="1"/>
  <c r="U309" i="1" a="1"/>
  <c r="U309" i="1" s="1"/>
  <c r="U310" i="1" a="1"/>
  <c r="U310" i="1" s="1"/>
  <c r="U311" i="1" a="1"/>
  <c r="U311" i="1" s="1"/>
  <c r="U312" i="1" a="1"/>
  <c r="U312" i="1" s="1"/>
  <c r="U313" i="1" a="1"/>
  <c r="U313" i="1"/>
  <c r="U314" i="1" a="1"/>
  <c r="U314" i="1"/>
  <c r="U315" i="1" a="1"/>
  <c r="U315" i="1" s="1"/>
  <c r="U316" i="1" a="1"/>
  <c r="U316" i="1" s="1"/>
  <c r="U317" i="1" a="1"/>
  <c r="U317" i="1" s="1"/>
  <c r="U318" i="1" a="1"/>
  <c r="U318" i="1" s="1"/>
  <c r="U319" i="1" a="1"/>
  <c r="U319" i="1" s="1"/>
  <c r="U320" i="1" a="1"/>
  <c r="U320" i="1" s="1"/>
  <c r="U321" i="1" a="1"/>
  <c r="U321" i="1"/>
  <c r="U322" i="1" a="1"/>
  <c r="U322" i="1"/>
  <c r="U323" i="1" a="1"/>
  <c r="U323" i="1" s="1"/>
  <c r="U324" i="1" a="1"/>
  <c r="U324" i="1" s="1"/>
  <c r="U325" i="1" a="1"/>
  <c r="U325" i="1" s="1"/>
  <c r="U326" i="1" a="1"/>
  <c r="U326" i="1" s="1"/>
  <c r="U327" i="1" a="1"/>
  <c r="U327" i="1" s="1"/>
  <c r="U328" i="1" a="1"/>
  <c r="U328" i="1" s="1"/>
  <c r="U329" i="1" a="1"/>
  <c r="U329" i="1"/>
  <c r="U330" i="1" a="1"/>
  <c r="U330" i="1"/>
  <c r="U331" i="1" a="1"/>
  <c r="U331" i="1" s="1"/>
  <c r="U332" i="1" a="1"/>
  <c r="U332" i="1" s="1"/>
  <c r="U333" i="1" a="1"/>
  <c r="U333" i="1" s="1"/>
  <c r="U334" i="1" a="1"/>
  <c r="U334" i="1" s="1"/>
  <c r="U335" i="1" a="1"/>
  <c r="U335" i="1" s="1"/>
  <c r="U336" i="1" a="1"/>
  <c r="U336" i="1" s="1"/>
  <c r="U337" i="1" a="1"/>
  <c r="U337" i="1"/>
  <c r="U338" i="1" a="1"/>
  <c r="U338" i="1"/>
  <c r="U339" i="1" a="1"/>
  <c r="U339" i="1" s="1"/>
  <c r="U340" i="1" a="1"/>
  <c r="U340" i="1" s="1"/>
  <c r="U341" i="1" a="1"/>
  <c r="U341" i="1" s="1"/>
  <c r="U342" i="1" a="1"/>
  <c r="U342" i="1" s="1"/>
  <c r="U343" i="1" a="1"/>
  <c r="U343" i="1" s="1"/>
  <c r="U344" i="1" a="1"/>
  <c r="U344" i="1" s="1"/>
  <c r="U345" i="1" a="1"/>
  <c r="U345" i="1"/>
  <c r="U346" i="1" a="1"/>
  <c r="U346" i="1"/>
  <c r="U347" i="1" a="1"/>
  <c r="U347" i="1" s="1"/>
  <c r="U348" i="1" a="1"/>
  <c r="U348" i="1" s="1"/>
  <c r="U349" i="1" a="1"/>
  <c r="U349" i="1" s="1"/>
  <c r="U350" i="1" a="1"/>
  <c r="U350" i="1" s="1"/>
  <c r="U351" i="1" a="1"/>
  <c r="U351" i="1" s="1"/>
  <c r="U352" i="1" a="1"/>
  <c r="U352" i="1" s="1"/>
  <c r="U353" i="1" a="1"/>
  <c r="U353" i="1"/>
  <c r="U354" i="1" a="1"/>
  <c r="U354" i="1"/>
  <c r="U355" i="1" a="1"/>
  <c r="U355" i="1" s="1"/>
  <c r="U356" i="1" a="1"/>
  <c r="U356" i="1" s="1"/>
  <c r="U357" i="1" a="1"/>
  <c r="U357" i="1" s="1"/>
  <c r="U358" i="1" a="1"/>
  <c r="U358" i="1" s="1"/>
  <c r="U359" i="1" a="1"/>
  <c r="U359" i="1" s="1"/>
  <c r="U360" i="1" a="1"/>
  <c r="U360" i="1" s="1"/>
  <c r="U361" i="1" a="1"/>
  <c r="U361" i="1"/>
  <c r="U362" i="1" a="1"/>
  <c r="U362" i="1"/>
  <c r="U363" i="1" a="1"/>
  <c r="U363" i="1" s="1"/>
  <c r="U364" i="1" a="1"/>
  <c r="U364" i="1" s="1"/>
  <c r="U365" i="1" a="1"/>
  <c r="U365" i="1" s="1"/>
  <c r="U366" i="1" a="1"/>
  <c r="U366" i="1" s="1"/>
  <c r="U367" i="1" a="1"/>
  <c r="U367" i="1" s="1"/>
  <c r="U368" i="1" a="1"/>
  <c r="U368" i="1" s="1"/>
  <c r="U369" i="1" a="1"/>
  <c r="U369" i="1"/>
  <c r="U370" i="1" a="1"/>
  <c r="U370" i="1"/>
  <c r="U371" i="1" a="1"/>
  <c r="U371" i="1" s="1"/>
  <c r="U372" i="1" a="1"/>
  <c r="U372" i="1" s="1"/>
  <c r="U373" i="1" a="1"/>
  <c r="U373" i="1" s="1"/>
  <c r="U374" i="1" a="1"/>
  <c r="U374" i="1" s="1"/>
  <c r="U375" i="1" a="1"/>
  <c r="U375" i="1" s="1"/>
  <c r="U376" i="1" a="1"/>
  <c r="U376" i="1" s="1"/>
  <c r="U377" i="1" a="1"/>
  <c r="U377" i="1"/>
  <c r="U378" i="1" a="1"/>
  <c r="U378" i="1"/>
  <c r="U379" i="1" a="1"/>
  <c r="U379" i="1" s="1"/>
  <c r="U380" i="1" a="1"/>
  <c r="U380" i="1" s="1"/>
  <c r="U381" i="1" a="1"/>
  <c r="U381" i="1" s="1"/>
  <c r="U382" i="1" a="1"/>
  <c r="U382" i="1" s="1"/>
  <c r="U383" i="1" a="1"/>
  <c r="U383" i="1" s="1"/>
  <c r="U384" i="1" a="1"/>
  <c r="U384" i="1" s="1"/>
  <c r="U385" i="1" a="1"/>
  <c r="U385" i="1"/>
  <c r="U386" i="1" a="1"/>
  <c r="U386" i="1"/>
  <c r="U387" i="1" a="1"/>
  <c r="U387" i="1" s="1"/>
  <c r="U388" i="1" a="1"/>
  <c r="U388" i="1" s="1"/>
  <c r="U389" i="1" a="1"/>
  <c r="U389" i="1" s="1"/>
  <c r="U390" i="1" a="1"/>
  <c r="U390" i="1" s="1"/>
  <c r="U391" i="1" a="1"/>
  <c r="U391" i="1" s="1"/>
  <c r="U392" i="1" a="1"/>
  <c r="U392" i="1" s="1"/>
  <c r="U393" i="1" a="1"/>
  <c r="U393" i="1"/>
  <c r="U394" i="1" a="1"/>
  <c r="U394" i="1"/>
  <c r="U395" i="1" a="1"/>
  <c r="U395" i="1" s="1"/>
  <c r="U396" i="1" a="1"/>
  <c r="U396" i="1" s="1"/>
  <c r="U397" i="1" a="1"/>
  <c r="U397" i="1" s="1"/>
  <c r="U398" i="1" a="1"/>
  <c r="U398" i="1" s="1"/>
  <c r="U399" i="1" a="1"/>
  <c r="U399" i="1" s="1"/>
  <c r="U400" i="1" a="1"/>
  <c r="U400" i="1" s="1"/>
  <c r="U401" i="1" a="1"/>
  <c r="U401" i="1"/>
  <c r="U402" i="1" a="1"/>
  <c r="U402" i="1"/>
  <c r="U403" i="1" a="1"/>
  <c r="U403" i="1" s="1"/>
  <c r="U404" i="1" a="1"/>
  <c r="U404" i="1" s="1"/>
  <c r="U405" i="1" a="1"/>
  <c r="U405" i="1" s="1"/>
  <c r="U406" i="1" a="1"/>
  <c r="U406" i="1" s="1"/>
  <c r="U407" i="1" a="1"/>
  <c r="U407" i="1" s="1"/>
  <c r="U408" i="1" a="1"/>
  <c r="U408" i="1" s="1"/>
  <c r="U409" i="1" a="1"/>
  <c r="U409" i="1"/>
  <c r="U410" i="1" a="1"/>
  <c r="U410" i="1"/>
  <c r="U411" i="1" a="1"/>
  <c r="U411" i="1" s="1"/>
  <c r="U412" i="1" a="1"/>
  <c r="U412" i="1" s="1"/>
  <c r="U413" i="1" a="1"/>
  <c r="U413" i="1" s="1"/>
  <c r="U414" i="1" a="1"/>
  <c r="U414" i="1" s="1"/>
  <c r="U415" i="1" a="1"/>
  <c r="U415" i="1" s="1"/>
  <c r="U416" i="1" a="1"/>
  <c r="U416" i="1" s="1"/>
  <c r="U417" i="1" a="1"/>
  <c r="U417" i="1"/>
  <c r="U418" i="1" a="1"/>
  <c r="U418" i="1"/>
  <c r="U419" i="1" a="1"/>
  <c r="U419" i="1" s="1"/>
  <c r="U420" i="1" a="1"/>
  <c r="U420" i="1" s="1"/>
  <c r="U421" i="1" a="1"/>
  <c r="U421" i="1" s="1"/>
  <c r="U422" i="1" a="1"/>
  <c r="U422" i="1" s="1"/>
  <c r="U423" i="1" a="1"/>
  <c r="U423" i="1" s="1"/>
  <c r="U424" i="1" a="1"/>
  <c r="U424" i="1" s="1"/>
  <c r="U425" i="1" a="1"/>
  <c r="U425" i="1"/>
  <c r="U426" i="1" a="1"/>
  <c r="U426" i="1"/>
  <c r="U427" i="1" a="1"/>
  <c r="U427" i="1" s="1"/>
  <c r="U428" i="1" a="1"/>
  <c r="U428" i="1" s="1"/>
  <c r="U429" i="1" a="1"/>
  <c r="U429" i="1" s="1"/>
  <c r="U430" i="1" a="1"/>
  <c r="U430" i="1" s="1"/>
  <c r="U431" i="1" a="1"/>
  <c r="U431" i="1" s="1"/>
  <c r="U432" i="1" a="1"/>
  <c r="U432" i="1" s="1"/>
  <c r="U433" i="1" a="1"/>
  <c r="U433" i="1"/>
  <c r="U434" i="1" a="1"/>
  <c r="U434" i="1"/>
  <c r="U435" i="1" a="1"/>
  <c r="U435" i="1" s="1"/>
  <c r="U436" i="1" a="1"/>
  <c r="U436" i="1" s="1"/>
  <c r="U437" i="1" a="1"/>
  <c r="U437" i="1" s="1"/>
  <c r="U438" i="1" a="1"/>
  <c r="U438" i="1" s="1"/>
  <c r="U439" i="1" a="1"/>
  <c r="U439" i="1" s="1"/>
  <c r="U440" i="1" a="1"/>
  <c r="U440" i="1" s="1"/>
  <c r="U441" i="1" a="1"/>
  <c r="U441" i="1"/>
  <c r="U442" i="1" a="1"/>
  <c r="U442" i="1"/>
  <c r="U443" i="1" a="1"/>
  <c r="U443" i="1" s="1"/>
  <c r="U444" i="1" a="1"/>
  <c r="U444" i="1" s="1"/>
  <c r="U445" i="1" a="1"/>
  <c r="U445" i="1" s="1"/>
  <c r="U446" i="1" a="1"/>
  <c r="U446" i="1" s="1"/>
  <c r="U447" i="1" a="1"/>
  <c r="U447" i="1" s="1"/>
  <c r="U448" i="1" a="1"/>
  <c r="U448" i="1" s="1"/>
  <c r="U449" i="1" a="1"/>
  <c r="U449" i="1"/>
  <c r="U450" i="1" a="1"/>
  <c r="U450" i="1"/>
  <c r="U451" i="1" a="1"/>
  <c r="U451" i="1" s="1"/>
  <c r="U452" i="1" a="1"/>
  <c r="U452" i="1" s="1"/>
  <c r="U453" i="1" a="1"/>
  <c r="U453" i="1" s="1"/>
  <c r="U454" i="1" a="1"/>
  <c r="U454" i="1" s="1"/>
  <c r="U455" i="1" a="1"/>
  <c r="U455" i="1" s="1"/>
  <c r="U456" i="1" a="1"/>
  <c r="U456" i="1" s="1"/>
  <c r="U457" i="1" a="1"/>
  <c r="U457" i="1"/>
  <c r="U458" i="1" a="1"/>
  <c r="U458" i="1"/>
  <c r="U459" i="1" a="1"/>
  <c r="U459" i="1" s="1"/>
  <c r="U460" i="1" a="1"/>
  <c r="U460" i="1" s="1"/>
  <c r="U461" i="1" a="1"/>
  <c r="U461" i="1" s="1"/>
  <c r="U462" i="1" a="1"/>
  <c r="U462" i="1" s="1"/>
  <c r="U463" i="1" a="1"/>
  <c r="U463" i="1" s="1"/>
  <c r="U464" i="1" a="1"/>
  <c r="U464" i="1" s="1"/>
  <c r="U465" i="1" a="1"/>
  <c r="U465" i="1"/>
  <c r="U466" i="1" a="1"/>
  <c r="U466" i="1"/>
  <c r="U467" i="1" a="1"/>
  <c r="U467" i="1" s="1"/>
  <c r="U468" i="1" a="1"/>
  <c r="U468" i="1" s="1"/>
  <c r="U469" i="1" a="1"/>
  <c r="U469" i="1" s="1"/>
  <c r="U470" i="1" a="1"/>
  <c r="U470" i="1" s="1"/>
  <c r="U471" i="1" a="1"/>
  <c r="U471" i="1" s="1"/>
  <c r="U472" i="1" a="1"/>
  <c r="U472" i="1" s="1"/>
  <c r="U473" i="1" a="1"/>
  <c r="U473" i="1"/>
  <c r="U474" i="1" a="1"/>
  <c r="U474" i="1"/>
  <c r="U475" i="1" a="1"/>
  <c r="U475" i="1" s="1"/>
  <c r="U476" i="1" a="1"/>
  <c r="U476" i="1" s="1"/>
  <c r="U477" i="1" a="1"/>
  <c r="U477" i="1" s="1"/>
  <c r="U478" i="1" a="1"/>
  <c r="U478" i="1" s="1"/>
  <c r="U479" i="1" a="1"/>
  <c r="U479" i="1" s="1"/>
  <c r="U480" i="1" a="1"/>
  <c r="U480" i="1" s="1"/>
  <c r="U481" i="1" a="1"/>
  <c r="U481" i="1"/>
  <c r="U482" i="1" a="1"/>
  <c r="U482" i="1"/>
  <c r="U483" i="1" a="1"/>
  <c r="U483" i="1" s="1"/>
  <c r="U484" i="1" a="1"/>
  <c r="U484" i="1" s="1"/>
  <c r="U485" i="1" a="1"/>
  <c r="U485" i="1" s="1"/>
  <c r="U486" i="1" a="1"/>
  <c r="U486" i="1" s="1"/>
  <c r="U487" i="1" a="1"/>
  <c r="U487" i="1" s="1"/>
  <c r="U488" i="1" a="1"/>
  <c r="U488" i="1" s="1"/>
  <c r="U489" i="1" a="1"/>
  <c r="U489" i="1"/>
  <c r="U490" i="1" a="1"/>
  <c r="U490" i="1"/>
  <c r="U491" i="1" a="1"/>
  <c r="U491" i="1" s="1"/>
  <c r="U492" i="1" a="1"/>
  <c r="U492" i="1" s="1"/>
  <c r="U493" i="1" a="1"/>
  <c r="U493" i="1" s="1"/>
  <c r="U494" i="1" a="1"/>
  <c r="U494" i="1" s="1"/>
  <c r="U495" i="1" a="1"/>
  <c r="U495" i="1" s="1"/>
  <c r="U496" i="1" a="1"/>
  <c r="U496" i="1" s="1"/>
  <c r="U497" i="1" a="1"/>
  <c r="U497" i="1"/>
  <c r="U498" i="1" a="1"/>
  <c r="U498" i="1"/>
  <c r="U499" i="1" a="1"/>
  <c r="U499" i="1" s="1"/>
  <c r="U500" i="1" a="1"/>
  <c r="U500" i="1" s="1"/>
  <c r="U501" i="1" a="1"/>
  <c r="U501" i="1" s="1"/>
  <c r="U502" i="1" a="1"/>
  <c r="U502" i="1" s="1"/>
  <c r="U503" i="1" a="1"/>
  <c r="U503" i="1" s="1"/>
  <c r="U504" i="1" a="1"/>
  <c r="U504" i="1" s="1"/>
  <c r="U505" i="1" a="1"/>
  <c r="U505" i="1"/>
  <c r="U506" i="1" a="1"/>
  <c r="U506" i="1"/>
  <c r="U507" i="1" a="1"/>
  <c r="U507" i="1" s="1"/>
  <c r="U508" i="1" a="1"/>
  <c r="U508" i="1" s="1"/>
  <c r="U509" i="1" a="1"/>
  <c r="U509" i="1" s="1"/>
  <c r="U510" i="1" a="1"/>
  <c r="U510" i="1" s="1"/>
  <c r="U511" i="1" a="1"/>
  <c r="U511" i="1" s="1"/>
  <c r="U512" i="1" a="1"/>
  <c r="U512" i="1" s="1"/>
  <c r="U513" i="1" a="1"/>
  <c r="U513" i="1"/>
  <c r="U514" i="1" a="1"/>
  <c r="U514" i="1"/>
  <c r="U515" i="1" a="1"/>
  <c r="U515" i="1" s="1"/>
  <c r="U516" i="1" a="1"/>
  <c r="U516" i="1" s="1"/>
  <c r="U517" i="1" a="1"/>
  <c r="U517" i="1" s="1"/>
  <c r="U518" i="1" a="1"/>
  <c r="U518" i="1" s="1"/>
  <c r="U519" i="1" a="1"/>
  <c r="U519" i="1" s="1"/>
  <c r="U520" i="1" a="1"/>
  <c r="U520" i="1" s="1"/>
  <c r="U521" i="1" a="1"/>
  <c r="U521" i="1"/>
  <c r="U522" i="1" a="1"/>
  <c r="U522" i="1"/>
  <c r="U523" i="1" a="1"/>
  <c r="U523" i="1" s="1"/>
  <c r="U524" i="1" a="1"/>
  <c r="U524" i="1" s="1"/>
  <c r="U525" i="1" a="1"/>
  <c r="U525" i="1" s="1"/>
  <c r="U526" i="1" a="1"/>
  <c r="U526" i="1" s="1"/>
  <c r="U527" i="1" a="1"/>
  <c r="U527" i="1" s="1"/>
  <c r="U528" i="1" a="1"/>
  <c r="U528" i="1" s="1"/>
  <c r="U529" i="1" a="1"/>
  <c r="U529" i="1"/>
  <c r="U530" i="1" a="1"/>
  <c r="U530" i="1"/>
  <c r="U531" i="1" a="1"/>
  <c r="U531" i="1" s="1"/>
  <c r="U532" i="1" a="1"/>
  <c r="U532" i="1" s="1"/>
  <c r="U533" i="1" a="1"/>
  <c r="U533" i="1" s="1"/>
  <c r="U534" i="1" a="1"/>
  <c r="U534" i="1" s="1"/>
  <c r="U535" i="1" a="1"/>
  <c r="U535" i="1" s="1"/>
  <c r="U536" i="1" a="1"/>
  <c r="U536" i="1" s="1"/>
  <c r="U537" i="1" a="1"/>
  <c r="U537" i="1"/>
  <c r="U538" i="1" a="1"/>
  <c r="U538" i="1"/>
  <c r="U539" i="1" a="1"/>
  <c r="U539" i="1" s="1"/>
  <c r="U540" i="1" a="1"/>
  <c r="U540" i="1" s="1"/>
  <c r="U541" i="1" a="1"/>
  <c r="U541" i="1" s="1"/>
  <c r="U542" i="1" a="1"/>
  <c r="U542" i="1" s="1"/>
  <c r="U543" i="1" a="1"/>
  <c r="U543" i="1" s="1"/>
  <c r="U544" i="1" a="1"/>
  <c r="U544" i="1" s="1"/>
  <c r="U545" i="1" a="1"/>
  <c r="U545" i="1"/>
  <c r="U546" i="1" a="1"/>
  <c r="U546" i="1"/>
  <c r="U547" i="1" a="1"/>
  <c r="U547" i="1" s="1"/>
  <c r="U548" i="1" a="1"/>
  <c r="U548" i="1" s="1"/>
  <c r="U549" i="1" a="1"/>
  <c r="U549" i="1" s="1"/>
  <c r="U550" i="1" a="1"/>
  <c r="U550" i="1" s="1"/>
  <c r="U551" i="1" a="1"/>
  <c r="U551" i="1" s="1"/>
  <c r="U552" i="1" a="1"/>
  <c r="U552" i="1" s="1"/>
  <c r="U553" i="1" a="1"/>
  <c r="U553" i="1"/>
  <c r="U554" i="1" a="1"/>
  <c r="U554" i="1"/>
  <c r="U555" i="1" a="1"/>
  <c r="U555" i="1" s="1"/>
  <c r="U556" i="1" a="1"/>
  <c r="U556" i="1" s="1"/>
  <c r="U557" i="1" a="1"/>
  <c r="U557" i="1" s="1"/>
  <c r="U558" i="1" a="1"/>
  <c r="U558" i="1" s="1"/>
  <c r="U559" i="1" a="1"/>
  <c r="U559" i="1" s="1"/>
  <c r="U560" i="1" a="1"/>
  <c r="U560" i="1" s="1"/>
  <c r="U561" i="1" a="1"/>
  <c r="U561" i="1"/>
  <c r="U562" i="1" a="1"/>
  <c r="U562" i="1"/>
  <c r="U563" i="1" a="1"/>
  <c r="U563" i="1" s="1"/>
  <c r="U564" i="1" a="1"/>
  <c r="U564" i="1" s="1"/>
  <c r="U2" i="1" a="1"/>
  <c r="U2" i="1" s="1"/>
  <c r="O518" i="1"/>
  <c r="N518" i="1"/>
  <c r="M518" i="1"/>
  <c r="O554" i="1"/>
  <c r="N554" i="1"/>
  <c r="M554" i="1"/>
  <c r="O564" i="1"/>
  <c r="N564" i="1"/>
  <c r="M564" i="1"/>
  <c r="O563" i="1"/>
  <c r="N563" i="1"/>
  <c r="M563" i="1"/>
  <c r="O562" i="1"/>
  <c r="N562" i="1"/>
  <c r="M562" i="1"/>
  <c r="O561" i="1"/>
  <c r="N561" i="1"/>
  <c r="M561" i="1"/>
  <c r="O559" i="1"/>
  <c r="N559" i="1"/>
  <c r="M559" i="1"/>
  <c r="O382" i="1"/>
  <c r="N382" i="1"/>
  <c r="M382" i="1"/>
  <c r="O539" i="1"/>
  <c r="N539" i="1"/>
  <c r="M539" i="1"/>
  <c r="O558" i="1"/>
  <c r="N558" i="1"/>
  <c r="M558" i="1"/>
  <c r="O560" i="1"/>
  <c r="N560" i="1"/>
  <c r="M560" i="1"/>
  <c r="O557" i="1"/>
  <c r="N557" i="1"/>
  <c r="M557" i="1"/>
  <c r="O556" i="1"/>
  <c r="N556" i="1"/>
  <c r="M556" i="1"/>
  <c r="O555" i="1"/>
  <c r="N555" i="1"/>
  <c r="M555" i="1"/>
  <c r="O516" i="1"/>
  <c r="N516" i="1"/>
  <c r="M516" i="1"/>
  <c r="O509" i="1"/>
  <c r="N509" i="1"/>
  <c r="M509" i="1"/>
  <c r="O467" i="1"/>
  <c r="N467" i="1"/>
  <c r="M467" i="1"/>
  <c r="O537" i="1"/>
  <c r="N537" i="1"/>
  <c r="M537" i="1"/>
  <c r="O549" i="1"/>
  <c r="N549" i="1"/>
  <c r="M549" i="1"/>
  <c r="O553" i="1"/>
  <c r="N553" i="1"/>
  <c r="M553" i="1"/>
  <c r="O552" i="1"/>
  <c r="N552" i="1"/>
  <c r="M552" i="1"/>
  <c r="O531" i="1"/>
  <c r="N531" i="1"/>
  <c r="M531" i="1"/>
  <c r="O504" i="1"/>
  <c r="N504" i="1"/>
  <c r="M504" i="1"/>
  <c r="O546" i="1"/>
  <c r="N546" i="1"/>
  <c r="M546" i="1"/>
  <c r="O507" i="1"/>
  <c r="N507" i="1"/>
  <c r="M507" i="1"/>
  <c r="O545" i="1"/>
  <c r="N545" i="1"/>
  <c r="M545" i="1"/>
  <c r="O522" i="1"/>
  <c r="N522" i="1"/>
  <c r="M522" i="1"/>
  <c r="O544" i="1"/>
  <c r="N544" i="1"/>
  <c r="M544" i="1"/>
  <c r="O530" i="1"/>
  <c r="N530" i="1"/>
  <c r="M530" i="1"/>
  <c r="O550" i="1"/>
  <c r="N550" i="1"/>
  <c r="M550" i="1"/>
  <c r="O548" i="1"/>
  <c r="N548" i="1"/>
  <c r="M548" i="1"/>
  <c r="O541" i="1"/>
  <c r="N541" i="1"/>
  <c r="M541" i="1"/>
  <c r="O542" i="1"/>
  <c r="N542" i="1"/>
  <c r="M542" i="1"/>
  <c r="O551" i="1"/>
  <c r="N551" i="1"/>
  <c r="M551" i="1"/>
  <c r="O532" i="1"/>
  <c r="N532" i="1"/>
  <c r="M532" i="1"/>
  <c r="O521" i="1"/>
  <c r="N521" i="1"/>
  <c r="M521" i="1"/>
  <c r="O547" i="1"/>
  <c r="N547" i="1"/>
  <c r="M547" i="1"/>
  <c r="O528" i="1"/>
  <c r="N528" i="1"/>
  <c r="M528" i="1"/>
  <c r="O540" i="1"/>
  <c r="N540" i="1"/>
  <c r="M540" i="1"/>
  <c r="O543" i="1"/>
  <c r="N543" i="1"/>
  <c r="M543" i="1"/>
  <c r="O527" i="1"/>
  <c r="N527" i="1"/>
  <c r="M527" i="1"/>
  <c r="O510" i="1"/>
  <c r="N510" i="1"/>
  <c r="M510" i="1"/>
  <c r="O534" i="1"/>
  <c r="N534" i="1"/>
  <c r="M534" i="1"/>
  <c r="O533" i="1"/>
  <c r="N533" i="1"/>
  <c r="M533" i="1"/>
  <c r="O538" i="1"/>
  <c r="N538" i="1"/>
  <c r="M538" i="1"/>
  <c r="O536" i="1"/>
  <c r="N536" i="1"/>
  <c r="M536" i="1"/>
  <c r="O535" i="1"/>
  <c r="N535" i="1"/>
  <c r="M535" i="1"/>
  <c r="O529" i="1"/>
  <c r="N529" i="1"/>
  <c r="M529" i="1"/>
  <c r="O525" i="1"/>
  <c r="N525" i="1"/>
  <c r="M525" i="1"/>
  <c r="O523" i="1"/>
  <c r="N523" i="1"/>
  <c r="M523" i="1"/>
  <c r="O526" i="1"/>
  <c r="N526" i="1"/>
  <c r="M526" i="1"/>
  <c r="O383" i="1"/>
  <c r="N383" i="1"/>
  <c r="M383" i="1"/>
  <c r="O524" i="1"/>
  <c r="N524" i="1"/>
  <c r="M524" i="1"/>
  <c r="O520" i="1"/>
  <c r="N520" i="1"/>
  <c r="M520" i="1"/>
  <c r="O511" i="1"/>
  <c r="N511" i="1"/>
  <c r="M511" i="1"/>
  <c r="O496" i="1"/>
  <c r="N496" i="1"/>
  <c r="M496" i="1"/>
  <c r="O515" i="1"/>
  <c r="N515" i="1"/>
  <c r="M515" i="1"/>
  <c r="O519" i="1"/>
  <c r="N519" i="1"/>
  <c r="M519" i="1"/>
  <c r="O499" i="1"/>
  <c r="N499" i="1"/>
  <c r="M499" i="1"/>
  <c r="O517" i="1"/>
  <c r="N517" i="1"/>
  <c r="M517" i="1"/>
  <c r="O514" i="1"/>
  <c r="N514" i="1"/>
  <c r="M514" i="1"/>
  <c r="O494" i="1"/>
  <c r="N494" i="1"/>
  <c r="M494" i="1"/>
  <c r="O513" i="1"/>
  <c r="N513" i="1"/>
  <c r="M513" i="1"/>
  <c r="O500" i="1"/>
  <c r="N500" i="1"/>
  <c r="M500" i="1"/>
  <c r="O512" i="1"/>
  <c r="N512" i="1"/>
  <c r="M512" i="1"/>
  <c r="O505" i="1"/>
  <c r="N505" i="1"/>
  <c r="M505" i="1"/>
  <c r="O488" i="1"/>
  <c r="N488" i="1"/>
  <c r="M488" i="1"/>
  <c r="O497" i="1"/>
  <c r="N497" i="1"/>
  <c r="M497" i="1"/>
  <c r="O503" i="1"/>
  <c r="N503" i="1"/>
  <c r="M503" i="1"/>
  <c r="O506" i="1"/>
  <c r="N506" i="1"/>
  <c r="M506" i="1"/>
  <c r="O508" i="1"/>
  <c r="N508" i="1"/>
  <c r="M508" i="1"/>
  <c r="O469" i="1"/>
  <c r="N469" i="1"/>
  <c r="M469" i="1"/>
  <c r="O484" i="1"/>
  <c r="N484" i="1"/>
  <c r="M484" i="1"/>
  <c r="O502" i="1"/>
  <c r="N502" i="1"/>
  <c r="M502" i="1"/>
  <c r="O501" i="1"/>
  <c r="N501" i="1"/>
  <c r="M501" i="1"/>
  <c r="O495" i="1"/>
  <c r="N495" i="1"/>
  <c r="M495" i="1"/>
  <c r="O498" i="1"/>
  <c r="N498" i="1"/>
  <c r="M498" i="1"/>
  <c r="O486" i="1"/>
  <c r="N486" i="1"/>
  <c r="M486" i="1"/>
  <c r="O491" i="1"/>
  <c r="N491" i="1"/>
  <c r="M491" i="1"/>
  <c r="O489" i="1"/>
  <c r="N489" i="1"/>
  <c r="M489" i="1"/>
  <c r="O490" i="1"/>
  <c r="N490" i="1"/>
  <c r="M490" i="1"/>
  <c r="O492" i="1"/>
  <c r="N492" i="1"/>
  <c r="M492" i="1"/>
  <c r="O493" i="1"/>
  <c r="N493" i="1"/>
  <c r="M493" i="1"/>
  <c r="O474" i="1"/>
  <c r="N474" i="1"/>
  <c r="M474" i="1"/>
  <c r="O487" i="1"/>
  <c r="N487" i="1"/>
  <c r="M487" i="1"/>
  <c r="O481" i="1"/>
  <c r="N481" i="1"/>
  <c r="M481" i="1"/>
  <c r="O460" i="1"/>
  <c r="N460" i="1"/>
  <c r="M460" i="1"/>
  <c r="O464" i="1"/>
  <c r="N464" i="1"/>
  <c r="M464" i="1"/>
  <c r="O482" i="1"/>
  <c r="N482" i="1"/>
  <c r="M482" i="1"/>
  <c r="O457" i="1"/>
  <c r="N457" i="1"/>
  <c r="M457" i="1"/>
  <c r="O483" i="1"/>
  <c r="N483" i="1"/>
  <c r="M483" i="1"/>
  <c r="O480" i="1"/>
  <c r="N480" i="1"/>
  <c r="M480" i="1"/>
  <c r="O461" i="1"/>
  <c r="N461" i="1"/>
  <c r="M461" i="1"/>
  <c r="O485" i="1"/>
  <c r="N485" i="1"/>
  <c r="M485" i="1"/>
  <c r="O442" i="1"/>
  <c r="N442" i="1"/>
  <c r="M442" i="1"/>
  <c r="O478" i="1"/>
  <c r="N478" i="1"/>
  <c r="M478" i="1"/>
  <c r="O477" i="1"/>
  <c r="N477" i="1"/>
  <c r="M477" i="1"/>
  <c r="O476" i="1"/>
  <c r="N476" i="1"/>
  <c r="M476" i="1"/>
  <c r="O396" i="1"/>
  <c r="N396" i="1"/>
  <c r="M396" i="1"/>
  <c r="O479" i="1"/>
  <c r="N479" i="1"/>
  <c r="M479" i="1"/>
  <c r="O473" i="1"/>
  <c r="N473" i="1"/>
  <c r="M473" i="1"/>
  <c r="O444" i="1"/>
  <c r="N444" i="1"/>
  <c r="M444" i="1"/>
  <c r="O466" i="1"/>
  <c r="N466" i="1"/>
  <c r="M466" i="1"/>
  <c r="O445" i="1"/>
  <c r="N445" i="1"/>
  <c r="M445" i="1"/>
  <c r="O475" i="1"/>
  <c r="N475" i="1"/>
  <c r="M475" i="1"/>
  <c r="O471" i="1"/>
  <c r="N471" i="1"/>
  <c r="M471" i="1"/>
  <c r="O470" i="1"/>
  <c r="N470" i="1"/>
  <c r="M470" i="1"/>
  <c r="O468" i="1"/>
  <c r="N468" i="1"/>
  <c r="M468" i="1"/>
  <c r="O472" i="1"/>
  <c r="N472" i="1"/>
  <c r="M472" i="1"/>
  <c r="O439" i="1"/>
  <c r="N439" i="1"/>
  <c r="M439" i="1"/>
  <c r="O465" i="1"/>
  <c r="N465" i="1"/>
  <c r="M465" i="1"/>
  <c r="O410" i="1"/>
  <c r="N410" i="1"/>
  <c r="M410" i="1"/>
  <c r="O456" i="1"/>
  <c r="N456" i="1"/>
  <c r="M456" i="1"/>
  <c r="O463" i="1"/>
  <c r="N463" i="1"/>
  <c r="M463" i="1"/>
  <c r="O459" i="1"/>
  <c r="N459" i="1"/>
  <c r="M459" i="1"/>
  <c r="O454" i="1"/>
  <c r="N454" i="1"/>
  <c r="M454" i="1"/>
  <c r="O462" i="1"/>
  <c r="N462" i="1"/>
  <c r="M462" i="1"/>
  <c r="O458" i="1"/>
  <c r="N458" i="1"/>
  <c r="M458" i="1"/>
  <c r="O401" i="1"/>
  <c r="N401" i="1"/>
  <c r="M401" i="1"/>
  <c r="O419" i="1"/>
  <c r="N419" i="1"/>
  <c r="M419" i="1"/>
  <c r="O452" i="1"/>
  <c r="N452" i="1"/>
  <c r="M452" i="1"/>
  <c r="O395" i="1"/>
  <c r="N395" i="1"/>
  <c r="M395" i="1"/>
  <c r="O453" i="1"/>
  <c r="N453" i="1"/>
  <c r="M453" i="1"/>
  <c r="O450" i="1"/>
  <c r="N450" i="1"/>
  <c r="M450" i="1"/>
  <c r="O447" i="1"/>
  <c r="N447" i="1"/>
  <c r="M447" i="1"/>
  <c r="O455" i="1"/>
  <c r="N455" i="1"/>
  <c r="M455" i="1"/>
  <c r="O391" i="1"/>
  <c r="N391" i="1"/>
  <c r="M391" i="1"/>
  <c r="O443" i="1"/>
  <c r="N443" i="1"/>
  <c r="M443" i="1"/>
  <c r="O451" i="1"/>
  <c r="N451" i="1"/>
  <c r="M451" i="1"/>
  <c r="O449" i="1"/>
  <c r="N449" i="1"/>
  <c r="M449" i="1"/>
  <c r="O448" i="1"/>
  <c r="N448" i="1"/>
  <c r="M448" i="1"/>
  <c r="O423" i="1"/>
  <c r="N423" i="1"/>
  <c r="M423" i="1"/>
  <c r="O446" i="1"/>
  <c r="N446" i="1"/>
  <c r="M446" i="1"/>
  <c r="O441" i="1"/>
  <c r="N441" i="1"/>
  <c r="M441" i="1"/>
  <c r="O436" i="1"/>
  <c r="N436" i="1"/>
  <c r="M436" i="1"/>
  <c r="O440" i="1"/>
  <c r="N440" i="1"/>
  <c r="M440" i="1"/>
  <c r="O414" i="1"/>
  <c r="N414" i="1"/>
  <c r="M414" i="1"/>
  <c r="O429" i="1"/>
  <c r="N429" i="1"/>
  <c r="M429" i="1"/>
  <c r="O435" i="1"/>
  <c r="N435" i="1"/>
  <c r="M435" i="1"/>
  <c r="O432" i="1"/>
  <c r="N432" i="1"/>
  <c r="M432" i="1"/>
  <c r="O404" i="1"/>
  <c r="N404" i="1"/>
  <c r="M404" i="1"/>
  <c r="O430" i="1"/>
  <c r="N430" i="1"/>
  <c r="M430" i="1"/>
  <c r="O437" i="1"/>
  <c r="N437" i="1"/>
  <c r="M437" i="1"/>
  <c r="O408" i="1"/>
  <c r="N408" i="1"/>
  <c r="M408" i="1"/>
  <c r="O428" i="1"/>
  <c r="N428" i="1"/>
  <c r="M428" i="1"/>
  <c r="O438" i="1"/>
  <c r="N438" i="1"/>
  <c r="M438" i="1"/>
  <c r="O434" i="1"/>
  <c r="N434" i="1"/>
  <c r="M434" i="1"/>
  <c r="O392" i="1"/>
  <c r="N392" i="1"/>
  <c r="M392" i="1"/>
  <c r="O433" i="1"/>
  <c r="N433" i="1"/>
  <c r="M433" i="1"/>
  <c r="O403" i="1"/>
  <c r="N403" i="1"/>
  <c r="M403" i="1"/>
  <c r="O426" i="1"/>
  <c r="N426" i="1"/>
  <c r="M426" i="1"/>
  <c r="O412" i="1"/>
  <c r="N412" i="1"/>
  <c r="M412" i="1"/>
  <c r="O424" i="1"/>
  <c r="N424" i="1"/>
  <c r="M424" i="1"/>
  <c r="O427" i="1"/>
  <c r="N427" i="1"/>
  <c r="M427" i="1"/>
  <c r="O418" i="1"/>
  <c r="N418" i="1"/>
  <c r="M418" i="1"/>
  <c r="O417" i="1"/>
  <c r="N417" i="1"/>
  <c r="M417" i="1"/>
  <c r="O411" i="1"/>
  <c r="N411" i="1"/>
  <c r="M411" i="1"/>
  <c r="O421" i="1"/>
  <c r="N421" i="1"/>
  <c r="M421" i="1"/>
  <c r="O422" i="1"/>
  <c r="N422" i="1"/>
  <c r="M422" i="1"/>
  <c r="O431" i="1"/>
  <c r="N431" i="1"/>
  <c r="M431" i="1"/>
  <c r="O416" i="1"/>
  <c r="N416" i="1"/>
  <c r="M416" i="1"/>
  <c r="O425" i="1"/>
  <c r="N425" i="1"/>
  <c r="M425" i="1"/>
  <c r="O407" i="1"/>
  <c r="N407" i="1"/>
  <c r="M407" i="1"/>
  <c r="O406" i="1"/>
  <c r="N406" i="1"/>
  <c r="M406" i="1"/>
  <c r="O372" i="1"/>
  <c r="N372" i="1"/>
  <c r="M372" i="1"/>
  <c r="O387" i="1"/>
  <c r="N387" i="1"/>
  <c r="M387" i="1"/>
  <c r="O420" i="1"/>
  <c r="N420" i="1"/>
  <c r="M420" i="1"/>
  <c r="O379" i="1"/>
  <c r="N379" i="1"/>
  <c r="M379" i="1"/>
  <c r="O413" i="1"/>
  <c r="N413" i="1"/>
  <c r="M413" i="1"/>
  <c r="O415" i="1"/>
  <c r="N415" i="1"/>
  <c r="M415" i="1"/>
  <c r="O402" i="1"/>
  <c r="N402" i="1"/>
  <c r="M402" i="1"/>
  <c r="O400" i="1"/>
  <c r="N400" i="1"/>
  <c r="M400" i="1"/>
  <c r="O398" i="1"/>
  <c r="N398" i="1"/>
  <c r="M398" i="1"/>
  <c r="O356" i="1"/>
  <c r="N356" i="1"/>
  <c r="M356" i="1"/>
  <c r="O397" i="1"/>
  <c r="N397" i="1"/>
  <c r="M397" i="1"/>
  <c r="O405" i="1"/>
  <c r="N405" i="1"/>
  <c r="M405" i="1"/>
  <c r="O409" i="1"/>
  <c r="N409" i="1"/>
  <c r="M409" i="1"/>
  <c r="O399" i="1"/>
  <c r="N399" i="1"/>
  <c r="M399" i="1"/>
  <c r="O393" i="1"/>
  <c r="N393" i="1"/>
  <c r="M393" i="1"/>
  <c r="O394" i="1"/>
  <c r="N394" i="1"/>
  <c r="M394" i="1"/>
  <c r="O370" i="1"/>
  <c r="N370" i="1"/>
  <c r="M370" i="1"/>
  <c r="O380" i="1"/>
  <c r="N380" i="1"/>
  <c r="M380" i="1"/>
  <c r="O346" i="1"/>
  <c r="N346" i="1"/>
  <c r="M346" i="1"/>
  <c r="O352" i="1"/>
  <c r="N352" i="1"/>
  <c r="M352" i="1"/>
  <c r="O388" i="1"/>
  <c r="N388" i="1"/>
  <c r="M388" i="1"/>
  <c r="O362" i="1"/>
  <c r="N362" i="1"/>
  <c r="M362" i="1"/>
  <c r="O386" i="1"/>
  <c r="N386" i="1"/>
  <c r="M386" i="1"/>
  <c r="O376" i="1"/>
  <c r="N376" i="1"/>
  <c r="M376" i="1"/>
  <c r="O385" i="1"/>
  <c r="N385" i="1"/>
  <c r="M385" i="1"/>
  <c r="O349" i="1"/>
  <c r="N349" i="1"/>
  <c r="M349" i="1"/>
  <c r="O375" i="1"/>
  <c r="N375" i="1"/>
  <c r="M375" i="1"/>
  <c r="O389" i="1"/>
  <c r="N389" i="1"/>
  <c r="M389" i="1"/>
  <c r="O384" i="1"/>
  <c r="N384" i="1"/>
  <c r="M384" i="1"/>
  <c r="O325" i="1"/>
  <c r="N325" i="1"/>
  <c r="M325" i="1"/>
  <c r="O366" i="1"/>
  <c r="N366" i="1"/>
  <c r="M366" i="1"/>
  <c r="O390" i="1"/>
  <c r="N390" i="1"/>
  <c r="M390" i="1"/>
  <c r="O377" i="1"/>
  <c r="N377" i="1"/>
  <c r="M377" i="1"/>
  <c r="O327" i="1"/>
  <c r="N327" i="1"/>
  <c r="M327" i="1"/>
  <c r="O371" i="1"/>
  <c r="N371" i="1"/>
  <c r="M371" i="1"/>
  <c r="O334" i="1"/>
  <c r="N334" i="1"/>
  <c r="M334" i="1"/>
  <c r="O381" i="1"/>
  <c r="N381" i="1"/>
  <c r="M381" i="1"/>
  <c r="O373" i="1"/>
  <c r="N373" i="1"/>
  <c r="M373" i="1"/>
  <c r="O365" i="1"/>
  <c r="N365" i="1"/>
  <c r="M365" i="1"/>
  <c r="O374" i="1"/>
  <c r="N374" i="1"/>
  <c r="M374" i="1"/>
  <c r="O378" i="1"/>
  <c r="N378" i="1"/>
  <c r="M378" i="1"/>
  <c r="O369" i="1"/>
  <c r="N369" i="1"/>
  <c r="M369" i="1"/>
  <c r="O358" i="1"/>
  <c r="N358" i="1"/>
  <c r="M358" i="1"/>
  <c r="O339" i="1"/>
  <c r="N339" i="1"/>
  <c r="M339" i="1"/>
  <c r="O368" i="1"/>
  <c r="N368" i="1"/>
  <c r="M368" i="1"/>
  <c r="O347" i="1"/>
  <c r="N347" i="1"/>
  <c r="M347" i="1"/>
  <c r="O364" i="1"/>
  <c r="N364" i="1"/>
  <c r="M364" i="1"/>
  <c r="O367" i="1"/>
  <c r="N367" i="1"/>
  <c r="M367" i="1"/>
  <c r="O345" i="1"/>
  <c r="N345" i="1"/>
  <c r="M345" i="1"/>
  <c r="O360" i="1"/>
  <c r="N360" i="1"/>
  <c r="M360" i="1"/>
  <c r="O315" i="1"/>
  <c r="N315" i="1"/>
  <c r="M315" i="1"/>
  <c r="O357" i="1"/>
  <c r="N357" i="1"/>
  <c r="M357" i="1"/>
  <c r="O361" i="1"/>
  <c r="N361" i="1"/>
  <c r="M361" i="1"/>
  <c r="O354" i="1"/>
  <c r="N354" i="1"/>
  <c r="M354" i="1"/>
  <c r="O353" i="1"/>
  <c r="N353" i="1"/>
  <c r="M353" i="1"/>
  <c r="O363" i="1"/>
  <c r="N363" i="1"/>
  <c r="M363" i="1"/>
  <c r="O355" i="1"/>
  <c r="N355" i="1"/>
  <c r="M355" i="1"/>
  <c r="O326" i="1"/>
  <c r="N326" i="1"/>
  <c r="M326" i="1"/>
  <c r="O359" i="1"/>
  <c r="N359" i="1"/>
  <c r="M359" i="1"/>
  <c r="O351" i="1"/>
  <c r="N351" i="1"/>
  <c r="M351" i="1"/>
  <c r="O306" i="1"/>
  <c r="N306" i="1"/>
  <c r="M306" i="1"/>
  <c r="O295" i="1"/>
  <c r="N295" i="1"/>
  <c r="M295" i="1"/>
  <c r="O340" i="1"/>
  <c r="N340" i="1"/>
  <c r="M340" i="1"/>
  <c r="O348" i="1"/>
  <c r="N348" i="1"/>
  <c r="M348" i="1"/>
  <c r="O344" i="1"/>
  <c r="N344" i="1"/>
  <c r="M344" i="1"/>
  <c r="O335" i="1"/>
  <c r="N335" i="1"/>
  <c r="M335" i="1"/>
  <c r="O329" i="1"/>
  <c r="N329" i="1"/>
  <c r="M329" i="1"/>
  <c r="O313" i="1"/>
  <c r="N313" i="1"/>
  <c r="M313" i="1"/>
  <c r="O341" i="1"/>
  <c r="N341" i="1"/>
  <c r="M341" i="1"/>
  <c r="O331" i="1"/>
  <c r="N331" i="1"/>
  <c r="M331" i="1"/>
  <c r="O343" i="1"/>
  <c r="N343" i="1"/>
  <c r="M343" i="1"/>
  <c r="O342" i="1"/>
  <c r="N342" i="1"/>
  <c r="M342" i="1"/>
  <c r="O323" i="1"/>
  <c r="N323" i="1"/>
  <c r="M323" i="1"/>
  <c r="O338" i="1"/>
  <c r="N338" i="1"/>
  <c r="M338" i="1"/>
  <c r="O308" i="1"/>
  <c r="N308" i="1"/>
  <c r="M308" i="1"/>
  <c r="O337" i="1"/>
  <c r="N337" i="1"/>
  <c r="M337" i="1"/>
  <c r="O336" i="1"/>
  <c r="N336" i="1"/>
  <c r="M336" i="1"/>
  <c r="O332" i="1"/>
  <c r="N332" i="1"/>
  <c r="M332" i="1"/>
  <c r="O303" i="1"/>
  <c r="N303" i="1"/>
  <c r="M303" i="1"/>
  <c r="O321" i="1"/>
  <c r="N321" i="1"/>
  <c r="M321" i="1"/>
  <c r="O322" i="1"/>
  <c r="N322" i="1"/>
  <c r="M322" i="1"/>
  <c r="O333" i="1"/>
  <c r="N333" i="1"/>
  <c r="M333" i="1"/>
  <c r="O286" i="1"/>
  <c r="N286" i="1"/>
  <c r="M286" i="1"/>
  <c r="O324" i="1"/>
  <c r="N324" i="1"/>
  <c r="M324" i="1"/>
  <c r="O293" i="1"/>
  <c r="N293" i="1"/>
  <c r="M293" i="1"/>
  <c r="O330" i="1"/>
  <c r="N330" i="1"/>
  <c r="M330" i="1"/>
  <c r="O310" i="1"/>
  <c r="N310" i="1"/>
  <c r="M310" i="1"/>
  <c r="O320" i="1"/>
  <c r="N320" i="1"/>
  <c r="M320" i="1"/>
  <c r="O299" i="1"/>
  <c r="N299" i="1"/>
  <c r="M299" i="1"/>
  <c r="O319" i="1"/>
  <c r="N319" i="1"/>
  <c r="M319" i="1"/>
  <c r="O284" i="1"/>
  <c r="N284" i="1"/>
  <c r="M284" i="1"/>
  <c r="O307" i="1"/>
  <c r="N307" i="1"/>
  <c r="M307" i="1"/>
  <c r="O309" i="1"/>
  <c r="N309" i="1"/>
  <c r="M309" i="1"/>
  <c r="O283" i="1"/>
  <c r="N283" i="1"/>
  <c r="M283" i="1"/>
  <c r="O302" i="1"/>
  <c r="N302" i="1"/>
  <c r="M302" i="1"/>
  <c r="O350" i="1"/>
  <c r="N350" i="1"/>
  <c r="M350" i="1"/>
  <c r="O314" i="1"/>
  <c r="N314" i="1"/>
  <c r="M314" i="1"/>
  <c r="O317" i="1"/>
  <c r="N317" i="1"/>
  <c r="M317" i="1"/>
  <c r="O316" i="1"/>
  <c r="N316" i="1"/>
  <c r="M316" i="1"/>
  <c r="O312" i="1"/>
  <c r="N312" i="1"/>
  <c r="M312" i="1"/>
  <c r="O328" i="1"/>
  <c r="N328" i="1"/>
  <c r="M328" i="1"/>
  <c r="O305" i="1"/>
  <c r="N305" i="1"/>
  <c r="M305" i="1"/>
  <c r="O318" i="1"/>
  <c r="N318" i="1"/>
  <c r="M318" i="1"/>
  <c r="O297" i="1"/>
  <c r="N297" i="1"/>
  <c r="M297" i="1"/>
  <c r="O300" i="1"/>
  <c r="N300" i="1"/>
  <c r="M300" i="1"/>
  <c r="O294" i="1"/>
  <c r="N294" i="1"/>
  <c r="M294" i="1"/>
  <c r="O280" i="1"/>
  <c r="N280" i="1"/>
  <c r="M280" i="1"/>
  <c r="O301" i="1"/>
  <c r="N301" i="1"/>
  <c r="M301" i="1"/>
  <c r="O278" i="1"/>
  <c r="N278" i="1"/>
  <c r="M278" i="1"/>
  <c r="O290" i="1"/>
  <c r="N290" i="1"/>
  <c r="M290" i="1"/>
  <c r="O311" i="1"/>
  <c r="N311" i="1"/>
  <c r="M311" i="1"/>
  <c r="O304" i="1"/>
  <c r="N304" i="1"/>
  <c r="M304" i="1"/>
  <c r="O266" i="1"/>
  <c r="N266" i="1"/>
  <c r="M266" i="1"/>
  <c r="O298" i="1"/>
  <c r="N298" i="1"/>
  <c r="M298" i="1"/>
  <c r="O292" i="1"/>
  <c r="N292" i="1"/>
  <c r="M292" i="1"/>
  <c r="O287" i="1"/>
  <c r="N287" i="1"/>
  <c r="M287" i="1"/>
  <c r="O281" i="1"/>
  <c r="N281" i="1"/>
  <c r="M281" i="1"/>
  <c r="O291" i="1"/>
  <c r="N291" i="1"/>
  <c r="M291" i="1"/>
  <c r="O289" i="1"/>
  <c r="N289" i="1"/>
  <c r="M289" i="1"/>
  <c r="O296" i="1"/>
  <c r="N296" i="1"/>
  <c r="M296" i="1"/>
  <c r="O288" i="1"/>
  <c r="N288" i="1"/>
  <c r="M288" i="1"/>
  <c r="O270" i="1"/>
  <c r="N270" i="1"/>
  <c r="M270" i="1"/>
  <c r="O279" i="1"/>
  <c r="N279" i="1"/>
  <c r="M279" i="1"/>
  <c r="O272" i="1"/>
  <c r="N272" i="1"/>
  <c r="M272" i="1"/>
  <c r="O285" i="1"/>
  <c r="N285" i="1"/>
  <c r="M285" i="1"/>
  <c r="O282" i="1"/>
  <c r="N282" i="1"/>
  <c r="M282" i="1"/>
  <c r="O259" i="1"/>
  <c r="N259" i="1"/>
  <c r="M259" i="1"/>
  <c r="O269" i="1"/>
  <c r="N269" i="1"/>
  <c r="M269" i="1"/>
  <c r="O268" i="1"/>
  <c r="N268" i="1"/>
  <c r="M268" i="1"/>
  <c r="O260" i="1"/>
  <c r="N260" i="1"/>
  <c r="M260" i="1"/>
  <c r="O276" i="1"/>
  <c r="N276" i="1"/>
  <c r="M276" i="1"/>
  <c r="O252" i="1"/>
  <c r="N252" i="1"/>
  <c r="M252" i="1"/>
  <c r="O275" i="1"/>
  <c r="N275" i="1"/>
  <c r="M275" i="1"/>
  <c r="O277" i="1"/>
  <c r="N277" i="1"/>
  <c r="M277" i="1"/>
  <c r="O274" i="1"/>
  <c r="N274" i="1"/>
  <c r="M274" i="1"/>
  <c r="O273" i="1"/>
  <c r="N273" i="1"/>
  <c r="M273" i="1"/>
  <c r="O262" i="1"/>
  <c r="N262" i="1"/>
  <c r="M262" i="1"/>
  <c r="O250" i="1"/>
  <c r="N250" i="1"/>
  <c r="M250" i="1"/>
  <c r="O246" i="1"/>
  <c r="N246" i="1"/>
  <c r="M246" i="1"/>
  <c r="O233" i="1"/>
  <c r="N233" i="1"/>
  <c r="M233" i="1"/>
  <c r="O247" i="1"/>
  <c r="N247" i="1"/>
  <c r="M247" i="1"/>
  <c r="O271" i="1"/>
  <c r="N271" i="1"/>
  <c r="M271" i="1"/>
  <c r="O239" i="1"/>
  <c r="N239" i="1"/>
  <c r="M239" i="1"/>
  <c r="O261" i="1"/>
  <c r="N261" i="1"/>
  <c r="M261" i="1"/>
  <c r="O265" i="1"/>
  <c r="N265" i="1"/>
  <c r="M265" i="1"/>
  <c r="O264" i="1"/>
  <c r="N264" i="1"/>
  <c r="M264" i="1"/>
  <c r="O267" i="1"/>
  <c r="N267" i="1"/>
  <c r="M267" i="1"/>
  <c r="O258" i="1"/>
  <c r="N258" i="1"/>
  <c r="M258" i="1"/>
  <c r="O257" i="1"/>
  <c r="N257" i="1"/>
  <c r="M257" i="1"/>
  <c r="O263" i="1"/>
  <c r="N263" i="1"/>
  <c r="M263" i="1"/>
  <c r="O254" i="1"/>
  <c r="N254" i="1"/>
  <c r="M254" i="1"/>
  <c r="O255" i="1"/>
  <c r="N255" i="1"/>
  <c r="M255" i="1"/>
  <c r="O237" i="1"/>
  <c r="N237" i="1"/>
  <c r="M237" i="1"/>
  <c r="O245" i="1"/>
  <c r="N245" i="1"/>
  <c r="M245" i="1"/>
  <c r="O249" i="1"/>
  <c r="N249" i="1"/>
  <c r="M249" i="1"/>
  <c r="O248" i="1"/>
  <c r="N248" i="1"/>
  <c r="M248" i="1"/>
  <c r="O253" i="1"/>
  <c r="N253" i="1"/>
  <c r="M253" i="1"/>
  <c r="O243" i="1"/>
  <c r="N243" i="1"/>
  <c r="M243" i="1"/>
  <c r="O256" i="1"/>
  <c r="N256" i="1"/>
  <c r="M256" i="1"/>
  <c r="O251" i="1"/>
  <c r="N251" i="1"/>
  <c r="M251" i="1"/>
  <c r="O244" i="1"/>
  <c r="N244" i="1"/>
  <c r="M244" i="1"/>
  <c r="O235" i="1"/>
  <c r="N235" i="1"/>
  <c r="M235" i="1"/>
  <c r="O242" i="1"/>
  <c r="N242" i="1"/>
  <c r="M242" i="1"/>
  <c r="O229" i="1"/>
  <c r="N229" i="1"/>
  <c r="M229" i="1"/>
  <c r="O225" i="1"/>
  <c r="N225" i="1"/>
  <c r="M225" i="1"/>
  <c r="O238" i="1"/>
  <c r="N238" i="1"/>
  <c r="M238" i="1"/>
  <c r="O241" i="1"/>
  <c r="N241" i="1"/>
  <c r="M241" i="1"/>
  <c r="O240" i="1"/>
  <c r="N240" i="1"/>
  <c r="M240" i="1"/>
  <c r="O231" i="1"/>
  <c r="N231" i="1"/>
  <c r="M231" i="1"/>
  <c r="O222" i="1"/>
  <c r="N222" i="1"/>
  <c r="M222" i="1"/>
  <c r="O236" i="1"/>
  <c r="N236" i="1"/>
  <c r="M236" i="1"/>
  <c r="O224" i="1"/>
  <c r="N224" i="1"/>
  <c r="M224" i="1"/>
  <c r="O232" i="1"/>
  <c r="N232" i="1"/>
  <c r="M232" i="1"/>
  <c r="O230" i="1"/>
  <c r="N230" i="1"/>
  <c r="M230" i="1"/>
  <c r="O219" i="1"/>
  <c r="N219" i="1"/>
  <c r="M219" i="1"/>
  <c r="O213" i="1"/>
  <c r="N213" i="1"/>
  <c r="M213" i="1"/>
  <c r="O228" i="1"/>
  <c r="N228" i="1"/>
  <c r="M228" i="1"/>
  <c r="O211" i="1"/>
  <c r="N211" i="1"/>
  <c r="M211" i="1"/>
  <c r="O214" i="1"/>
  <c r="N214" i="1"/>
  <c r="M214" i="1"/>
  <c r="O226" i="1"/>
  <c r="N226" i="1"/>
  <c r="M226" i="1"/>
  <c r="O223" i="1"/>
  <c r="N223" i="1"/>
  <c r="M223" i="1"/>
  <c r="O217" i="1"/>
  <c r="N217" i="1"/>
  <c r="M217" i="1"/>
  <c r="O210" i="1"/>
  <c r="N210" i="1"/>
  <c r="M210" i="1"/>
  <c r="O234" i="1"/>
  <c r="N234" i="1"/>
  <c r="M234" i="1"/>
  <c r="O212" i="1"/>
  <c r="N212" i="1"/>
  <c r="M212" i="1"/>
  <c r="O227" i="1"/>
  <c r="N227" i="1"/>
  <c r="M227" i="1"/>
  <c r="O193" i="1"/>
  <c r="N193" i="1"/>
  <c r="M193" i="1"/>
  <c r="O221" i="1"/>
  <c r="N221" i="1"/>
  <c r="M221" i="1"/>
  <c r="O216" i="1"/>
  <c r="N216" i="1"/>
  <c r="M216" i="1"/>
  <c r="O215" i="1"/>
  <c r="N215" i="1"/>
  <c r="M215" i="1"/>
  <c r="O208" i="1"/>
  <c r="N208" i="1"/>
  <c r="M208" i="1"/>
  <c r="O209" i="1"/>
  <c r="N209" i="1"/>
  <c r="M209" i="1"/>
  <c r="O197" i="1"/>
  <c r="N197" i="1"/>
  <c r="M197" i="1"/>
  <c r="O220" i="1"/>
  <c r="N220" i="1"/>
  <c r="M220" i="1"/>
  <c r="O203" i="1"/>
  <c r="N203" i="1"/>
  <c r="M203" i="1"/>
  <c r="O218" i="1"/>
  <c r="N218" i="1"/>
  <c r="M218" i="1"/>
  <c r="O207" i="1"/>
  <c r="N207" i="1"/>
  <c r="M207" i="1"/>
  <c r="O200" i="1"/>
  <c r="N200" i="1"/>
  <c r="M200" i="1"/>
  <c r="O202" i="1"/>
  <c r="N202" i="1"/>
  <c r="M202" i="1"/>
  <c r="O190" i="1"/>
  <c r="N190" i="1"/>
  <c r="M190" i="1"/>
  <c r="O206" i="1"/>
  <c r="N206" i="1"/>
  <c r="M206" i="1"/>
  <c r="O198" i="1"/>
  <c r="N198" i="1"/>
  <c r="M198" i="1"/>
  <c r="O194" i="1"/>
  <c r="N194" i="1"/>
  <c r="M194" i="1"/>
  <c r="O204" i="1"/>
  <c r="N204" i="1"/>
  <c r="M204" i="1"/>
  <c r="O191" i="1"/>
  <c r="N191" i="1"/>
  <c r="M191" i="1"/>
  <c r="O205" i="1"/>
  <c r="N205" i="1"/>
  <c r="M205" i="1"/>
  <c r="O167" i="1"/>
  <c r="N167" i="1"/>
  <c r="M167" i="1"/>
  <c r="O187" i="1"/>
  <c r="N187" i="1"/>
  <c r="M187" i="1"/>
  <c r="O196" i="1"/>
  <c r="N196" i="1"/>
  <c r="M196" i="1"/>
  <c r="O201" i="1"/>
  <c r="N201" i="1"/>
  <c r="M201" i="1"/>
  <c r="O188" i="1"/>
  <c r="N188" i="1"/>
  <c r="M188" i="1"/>
  <c r="O199" i="1"/>
  <c r="N199" i="1"/>
  <c r="M199" i="1"/>
  <c r="O177" i="1"/>
  <c r="N177" i="1"/>
  <c r="M177" i="1"/>
  <c r="O186" i="1"/>
  <c r="N186" i="1"/>
  <c r="M186" i="1"/>
  <c r="O192" i="1"/>
  <c r="N192" i="1"/>
  <c r="M192" i="1"/>
  <c r="O184" i="1"/>
  <c r="N184" i="1"/>
  <c r="M184" i="1"/>
  <c r="O175" i="1"/>
  <c r="N175" i="1"/>
  <c r="M175" i="1"/>
  <c r="O189" i="1"/>
  <c r="N189" i="1"/>
  <c r="M189" i="1"/>
  <c r="O195" i="1"/>
  <c r="N195" i="1"/>
  <c r="M195" i="1"/>
  <c r="O183" i="1"/>
  <c r="N183" i="1"/>
  <c r="M183" i="1"/>
  <c r="O180" i="1"/>
  <c r="N180" i="1"/>
  <c r="M180" i="1"/>
  <c r="O185" i="1"/>
  <c r="N185" i="1"/>
  <c r="M185" i="1"/>
  <c r="O159" i="1"/>
  <c r="N159" i="1"/>
  <c r="M159" i="1"/>
  <c r="O169" i="1"/>
  <c r="N169" i="1"/>
  <c r="M169" i="1"/>
  <c r="O182" i="1"/>
  <c r="N182" i="1"/>
  <c r="M182" i="1"/>
  <c r="O176" i="1"/>
  <c r="N176" i="1"/>
  <c r="M176" i="1"/>
  <c r="O174" i="1"/>
  <c r="N174" i="1"/>
  <c r="M174" i="1"/>
  <c r="O160" i="1"/>
  <c r="N160" i="1"/>
  <c r="M160" i="1"/>
  <c r="O173" i="1"/>
  <c r="N173" i="1"/>
  <c r="M173" i="1"/>
  <c r="O181" i="1"/>
  <c r="N181" i="1"/>
  <c r="M181" i="1"/>
  <c r="O179" i="1"/>
  <c r="N179" i="1"/>
  <c r="M179" i="1"/>
  <c r="O178" i="1"/>
  <c r="N178" i="1"/>
  <c r="M178" i="1"/>
  <c r="O162" i="1"/>
  <c r="N162" i="1"/>
  <c r="M162" i="1"/>
  <c r="O165" i="1"/>
  <c r="N165" i="1"/>
  <c r="M165" i="1"/>
  <c r="O164" i="1"/>
  <c r="N164" i="1"/>
  <c r="M164" i="1"/>
  <c r="O163" i="1"/>
  <c r="N163" i="1"/>
  <c r="M163" i="1"/>
  <c r="O153" i="1"/>
  <c r="N153" i="1"/>
  <c r="M153" i="1"/>
  <c r="O168" i="1"/>
  <c r="N168" i="1"/>
  <c r="M168" i="1"/>
  <c r="O171" i="1"/>
  <c r="N171" i="1"/>
  <c r="M171" i="1"/>
  <c r="O166" i="1"/>
  <c r="N166" i="1"/>
  <c r="M166" i="1"/>
  <c r="O158" i="1"/>
  <c r="N158" i="1"/>
  <c r="M158" i="1"/>
  <c r="O172" i="1"/>
  <c r="N172" i="1"/>
  <c r="M172" i="1"/>
  <c r="O170" i="1"/>
  <c r="N170" i="1"/>
  <c r="M170" i="1"/>
  <c r="O156" i="1"/>
  <c r="N156" i="1"/>
  <c r="M156" i="1"/>
  <c r="O125" i="1"/>
  <c r="N125" i="1"/>
  <c r="M125" i="1"/>
  <c r="O150" i="1"/>
  <c r="N150" i="1"/>
  <c r="M150" i="1"/>
  <c r="O146" i="1"/>
  <c r="N146" i="1"/>
  <c r="M146" i="1"/>
  <c r="O161" i="1"/>
  <c r="N161" i="1"/>
  <c r="M161" i="1"/>
  <c r="O143" i="1"/>
  <c r="N143" i="1"/>
  <c r="M143" i="1"/>
  <c r="O154" i="1"/>
  <c r="N154" i="1"/>
  <c r="M154" i="1"/>
  <c r="O151" i="1"/>
  <c r="N151" i="1"/>
  <c r="M151" i="1"/>
  <c r="O148" i="1"/>
  <c r="N148" i="1"/>
  <c r="M148" i="1"/>
  <c r="O155" i="1"/>
  <c r="N155" i="1"/>
  <c r="M155" i="1"/>
  <c r="O144" i="1"/>
  <c r="N144" i="1"/>
  <c r="M144" i="1"/>
  <c r="O157" i="1"/>
  <c r="N157" i="1"/>
  <c r="M157" i="1"/>
  <c r="O152" i="1"/>
  <c r="N152" i="1"/>
  <c r="M152" i="1"/>
  <c r="O147" i="1"/>
  <c r="N147" i="1"/>
  <c r="M147" i="1"/>
  <c r="O145" i="1"/>
  <c r="N145" i="1"/>
  <c r="M145" i="1"/>
  <c r="O140" i="1"/>
  <c r="N140" i="1"/>
  <c r="M140" i="1"/>
  <c r="O127" i="1"/>
  <c r="N127" i="1"/>
  <c r="M127" i="1"/>
  <c r="O149" i="1"/>
  <c r="N149" i="1"/>
  <c r="M149" i="1"/>
  <c r="O126" i="1"/>
  <c r="N126" i="1"/>
  <c r="M126" i="1"/>
  <c r="O138" i="1"/>
  <c r="N138" i="1"/>
  <c r="M138" i="1"/>
  <c r="O136" i="1"/>
  <c r="N136" i="1"/>
  <c r="M136" i="1"/>
  <c r="O142" i="1"/>
  <c r="N142" i="1"/>
  <c r="M142" i="1"/>
  <c r="O137" i="1"/>
  <c r="N137" i="1"/>
  <c r="M137" i="1"/>
  <c r="O139" i="1"/>
  <c r="N139" i="1"/>
  <c r="M139" i="1"/>
  <c r="O133" i="1"/>
  <c r="N133" i="1"/>
  <c r="M133" i="1"/>
  <c r="O132" i="1"/>
  <c r="N132" i="1"/>
  <c r="M132" i="1"/>
  <c r="O130" i="1"/>
  <c r="N130" i="1"/>
  <c r="M130" i="1"/>
  <c r="O134" i="1"/>
  <c r="N134" i="1"/>
  <c r="M134" i="1"/>
  <c r="O135" i="1"/>
  <c r="N135" i="1"/>
  <c r="M135" i="1"/>
  <c r="O128" i="1"/>
  <c r="N128" i="1"/>
  <c r="M128" i="1"/>
  <c r="O141" i="1"/>
  <c r="N141" i="1"/>
  <c r="M141" i="1"/>
  <c r="O129" i="1"/>
  <c r="N129" i="1"/>
  <c r="M129" i="1"/>
  <c r="O131" i="1"/>
  <c r="N131" i="1"/>
  <c r="M131" i="1"/>
  <c r="O123" i="1"/>
  <c r="N123" i="1"/>
  <c r="M123" i="1"/>
  <c r="O120" i="1"/>
  <c r="N120" i="1"/>
  <c r="M120" i="1"/>
  <c r="O124" i="1"/>
  <c r="N124" i="1"/>
  <c r="M124" i="1"/>
  <c r="O122" i="1"/>
  <c r="N122" i="1"/>
  <c r="M122" i="1"/>
  <c r="O121" i="1"/>
  <c r="N121" i="1"/>
  <c r="M121" i="1"/>
  <c r="O119" i="1"/>
  <c r="N119" i="1"/>
  <c r="M119" i="1"/>
  <c r="O118" i="1"/>
  <c r="N118" i="1"/>
  <c r="M118" i="1"/>
  <c r="O112" i="1"/>
  <c r="N112" i="1"/>
  <c r="M112" i="1"/>
  <c r="O115" i="1"/>
  <c r="N115" i="1"/>
  <c r="M115" i="1"/>
  <c r="O117" i="1"/>
  <c r="N117" i="1"/>
  <c r="M117" i="1"/>
  <c r="O116" i="1"/>
  <c r="N116" i="1"/>
  <c r="M116" i="1"/>
  <c r="O109" i="1"/>
  <c r="N109" i="1"/>
  <c r="M109" i="1"/>
  <c r="O107" i="1"/>
  <c r="N107" i="1"/>
  <c r="M107" i="1"/>
  <c r="O114" i="1"/>
  <c r="N114" i="1"/>
  <c r="M114" i="1"/>
  <c r="O106" i="1"/>
  <c r="N106" i="1"/>
  <c r="M106" i="1"/>
  <c r="O98" i="1"/>
  <c r="N98" i="1"/>
  <c r="M98" i="1"/>
  <c r="O113" i="1"/>
  <c r="N113" i="1"/>
  <c r="M113" i="1"/>
  <c r="O104" i="1"/>
  <c r="N104" i="1"/>
  <c r="M104" i="1"/>
  <c r="O111" i="1"/>
  <c r="N111" i="1"/>
  <c r="M111" i="1"/>
  <c r="O102" i="1"/>
  <c r="N102" i="1"/>
  <c r="M102" i="1"/>
  <c r="O105" i="1"/>
  <c r="N105" i="1"/>
  <c r="M105" i="1"/>
  <c r="O110" i="1"/>
  <c r="N110" i="1"/>
  <c r="M110" i="1"/>
  <c r="O108" i="1"/>
  <c r="N108" i="1"/>
  <c r="M108" i="1"/>
  <c r="O103" i="1"/>
  <c r="N103" i="1"/>
  <c r="M103" i="1"/>
  <c r="O100" i="1"/>
  <c r="N100" i="1"/>
  <c r="M100" i="1"/>
  <c r="O96" i="1"/>
  <c r="N96" i="1"/>
  <c r="M96" i="1"/>
  <c r="O97" i="1"/>
  <c r="N97" i="1"/>
  <c r="M97" i="1"/>
  <c r="O93" i="1"/>
  <c r="N93" i="1"/>
  <c r="M93" i="1"/>
  <c r="O101" i="1"/>
  <c r="N101" i="1"/>
  <c r="M101" i="1"/>
  <c r="O99" i="1"/>
  <c r="N99" i="1"/>
  <c r="M99" i="1"/>
  <c r="O82" i="1"/>
  <c r="N82" i="1"/>
  <c r="M82" i="1"/>
  <c r="O84" i="1"/>
  <c r="N84" i="1"/>
  <c r="M84" i="1"/>
  <c r="O83" i="1"/>
  <c r="N83" i="1"/>
  <c r="M83" i="1"/>
  <c r="O92" i="1"/>
  <c r="N92" i="1"/>
  <c r="M92" i="1"/>
  <c r="O87" i="1"/>
  <c r="N87" i="1"/>
  <c r="M87" i="1"/>
  <c r="O95" i="1"/>
  <c r="N95" i="1"/>
  <c r="M95" i="1"/>
  <c r="O85" i="1"/>
  <c r="N85" i="1"/>
  <c r="M85" i="1"/>
  <c r="O89" i="1"/>
  <c r="N89" i="1"/>
  <c r="M89" i="1"/>
  <c r="O94" i="1"/>
  <c r="N94" i="1"/>
  <c r="M94" i="1"/>
  <c r="O88" i="1"/>
  <c r="N88" i="1"/>
  <c r="M88" i="1"/>
  <c r="O81" i="1"/>
  <c r="N81" i="1"/>
  <c r="M81" i="1"/>
  <c r="O91" i="1"/>
  <c r="N91" i="1"/>
  <c r="M91" i="1"/>
  <c r="O79" i="1"/>
  <c r="N79" i="1"/>
  <c r="M79" i="1"/>
  <c r="O78" i="1"/>
  <c r="N78" i="1"/>
  <c r="M78" i="1"/>
  <c r="O86" i="1"/>
  <c r="N86" i="1"/>
  <c r="M86" i="1"/>
  <c r="O76" i="1"/>
  <c r="N76" i="1"/>
  <c r="M76" i="1"/>
  <c r="O80" i="1"/>
  <c r="N80" i="1"/>
  <c r="M80" i="1"/>
  <c r="O68" i="1"/>
  <c r="N68" i="1"/>
  <c r="M68" i="1"/>
  <c r="O75" i="1"/>
  <c r="N75" i="1"/>
  <c r="M75" i="1"/>
  <c r="O69" i="1"/>
  <c r="N69" i="1"/>
  <c r="M69" i="1"/>
  <c r="O63" i="1"/>
  <c r="N63" i="1"/>
  <c r="M63" i="1"/>
  <c r="O74" i="1"/>
  <c r="N74" i="1"/>
  <c r="M74" i="1"/>
  <c r="O71" i="1"/>
  <c r="N71" i="1"/>
  <c r="M71" i="1"/>
  <c r="O77" i="1"/>
  <c r="N77" i="1"/>
  <c r="M77" i="1"/>
  <c r="O66" i="1"/>
  <c r="N66" i="1"/>
  <c r="M66" i="1"/>
  <c r="O73" i="1"/>
  <c r="N73" i="1"/>
  <c r="M73" i="1"/>
  <c r="O61" i="1"/>
  <c r="N61" i="1"/>
  <c r="M61" i="1"/>
  <c r="O90" i="1"/>
  <c r="N90" i="1"/>
  <c r="M90" i="1"/>
  <c r="O72" i="1"/>
  <c r="N72" i="1"/>
  <c r="M72" i="1"/>
  <c r="O55" i="1"/>
  <c r="N55" i="1"/>
  <c r="M55" i="1"/>
  <c r="O62" i="1"/>
  <c r="N62" i="1"/>
  <c r="M62" i="1"/>
  <c r="O57" i="1"/>
  <c r="N57" i="1"/>
  <c r="M57" i="1"/>
  <c r="O64" i="1"/>
  <c r="N64" i="1"/>
  <c r="M64" i="1"/>
  <c r="O65" i="1"/>
  <c r="N65" i="1"/>
  <c r="M65" i="1"/>
  <c r="O70" i="1"/>
  <c r="N70" i="1"/>
  <c r="M70" i="1"/>
  <c r="O58" i="1"/>
  <c r="N58" i="1"/>
  <c r="M58" i="1"/>
  <c r="O59" i="1"/>
  <c r="N59" i="1"/>
  <c r="M59" i="1"/>
  <c r="O56" i="1"/>
  <c r="N56" i="1"/>
  <c r="M56" i="1"/>
  <c r="O51" i="1"/>
  <c r="N51" i="1"/>
  <c r="M51" i="1"/>
  <c r="O67" i="1"/>
  <c r="N67" i="1"/>
  <c r="M67" i="1"/>
  <c r="O52" i="1"/>
  <c r="N52" i="1"/>
  <c r="M52" i="1"/>
  <c r="O48" i="1"/>
  <c r="N48" i="1"/>
  <c r="M48" i="1"/>
  <c r="O39" i="1"/>
  <c r="N39" i="1"/>
  <c r="M39" i="1"/>
  <c r="O41" i="1"/>
  <c r="N41" i="1"/>
  <c r="M41" i="1"/>
  <c r="O54" i="1"/>
  <c r="N54" i="1"/>
  <c r="M54" i="1"/>
  <c r="O49" i="1"/>
  <c r="N49" i="1"/>
  <c r="M49" i="1"/>
  <c r="O53" i="1"/>
  <c r="N53" i="1"/>
  <c r="M53" i="1"/>
  <c r="O60" i="1"/>
  <c r="N60" i="1"/>
  <c r="M60" i="1"/>
  <c r="O50" i="1"/>
  <c r="N50" i="1"/>
  <c r="M50" i="1"/>
  <c r="O47" i="1"/>
  <c r="N47" i="1"/>
  <c r="M47" i="1"/>
  <c r="O46" i="1"/>
  <c r="N46" i="1"/>
  <c r="M46" i="1"/>
  <c r="O45" i="1"/>
  <c r="N45" i="1"/>
  <c r="M45" i="1"/>
  <c r="O36" i="1"/>
  <c r="N36" i="1"/>
  <c r="M36" i="1"/>
  <c r="O38" i="1"/>
  <c r="N38" i="1"/>
  <c r="M38" i="1"/>
  <c r="O42" i="1"/>
  <c r="N42" i="1"/>
  <c r="M42" i="1"/>
  <c r="O43" i="1"/>
  <c r="N43" i="1"/>
  <c r="M43" i="1"/>
  <c r="O44" i="1"/>
  <c r="N44" i="1"/>
  <c r="M44" i="1"/>
  <c r="O40" i="1"/>
  <c r="N40" i="1"/>
  <c r="M40" i="1"/>
  <c r="O35" i="1"/>
  <c r="N35" i="1"/>
  <c r="M35" i="1"/>
  <c r="O37" i="1"/>
  <c r="N37" i="1"/>
  <c r="M37" i="1"/>
  <c r="O33" i="1"/>
  <c r="N33" i="1"/>
  <c r="M33" i="1"/>
  <c r="O34" i="1"/>
  <c r="N34" i="1"/>
  <c r="M34" i="1"/>
  <c r="O32" i="1"/>
  <c r="N32" i="1"/>
  <c r="M32" i="1"/>
  <c r="O31" i="1"/>
  <c r="N31" i="1"/>
  <c r="M31" i="1"/>
  <c r="O30" i="1"/>
  <c r="N30" i="1"/>
  <c r="M30" i="1"/>
  <c r="O26" i="1"/>
  <c r="N26" i="1"/>
  <c r="M26" i="1"/>
  <c r="O27" i="1"/>
  <c r="N27" i="1"/>
  <c r="M27" i="1"/>
  <c r="O29" i="1"/>
  <c r="N29" i="1"/>
  <c r="M29" i="1"/>
  <c r="O28" i="1"/>
  <c r="N28" i="1"/>
  <c r="M28" i="1"/>
  <c r="O21" i="1"/>
  <c r="N21" i="1"/>
  <c r="M21" i="1"/>
  <c r="O25" i="1"/>
  <c r="N25" i="1"/>
  <c r="M25" i="1"/>
  <c r="O23" i="1"/>
  <c r="N23" i="1"/>
  <c r="M23" i="1"/>
  <c r="O19" i="1"/>
  <c r="N19" i="1"/>
  <c r="M19" i="1"/>
  <c r="O22" i="1"/>
  <c r="N22" i="1"/>
  <c r="M22" i="1"/>
  <c r="O17" i="1"/>
  <c r="N17" i="1"/>
  <c r="M17" i="1"/>
  <c r="O18" i="1"/>
  <c r="N18" i="1"/>
  <c r="M18" i="1"/>
  <c r="O20" i="1"/>
  <c r="N20" i="1"/>
  <c r="M20" i="1"/>
  <c r="O24" i="1"/>
  <c r="N24" i="1"/>
  <c r="M24" i="1"/>
  <c r="O14" i="1"/>
  <c r="N14" i="1"/>
  <c r="M14" i="1"/>
  <c r="O15" i="1"/>
  <c r="N15" i="1"/>
  <c r="M15" i="1"/>
  <c r="O8" i="1"/>
  <c r="N8" i="1"/>
  <c r="M8" i="1"/>
  <c r="O13" i="1"/>
  <c r="N13" i="1"/>
  <c r="M13" i="1"/>
  <c r="O16" i="1"/>
  <c r="N16" i="1"/>
  <c r="M16" i="1"/>
  <c r="O12" i="1"/>
  <c r="N12" i="1"/>
  <c r="M12" i="1"/>
  <c r="O9" i="1"/>
  <c r="N9" i="1"/>
  <c r="M9" i="1"/>
  <c r="O7" i="1"/>
  <c r="N7" i="1"/>
  <c r="M7" i="1"/>
  <c r="O11" i="1"/>
  <c r="N11" i="1"/>
  <c r="M11" i="1"/>
  <c r="O5" i="1"/>
  <c r="N5" i="1"/>
  <c r="M5" i="1"/>
  <c r="O10" i="1"/>
  <c r="N10" i="1"/>
  <c r="M10" i="1"/>
  <c r="O4" i="1"/>
  <c r="N4" i="1"/>
  <c r="M4" i="1"/>
  <c r="O3" i="1"/>
  <c r="N3" i="1"/>
  <c r="M3" i="1"/>
  <c r="O6" i="1"/>
  <c r="N6" i="1"/>
  <c r="M6" i="1"/>
  <c r="O2" i="1"/>
  <c r="N2" i="1"/>
  <c r="M2" i="1"/>
  <c r="Q58" i="1" l="1"/>
  <c r="Q29" i="1"/>
  <c r="R57" i="1"/>
  <c r="Q38" i="1"/>
  <c r="Q110" i="1"/>
  <c r="Q43" i="1"/>
  <c r="Q21" i="1"/>
  <c r="Q197" i="1"/>
  <c r="Q9" i="1"/>
  <c r="Q40" i="1"/>
  <c r="P132" i="1"/>
  <c r="Q23" i="1"/>
  <c r="Q196" i="1"/>
  <c r="Q10" i="1"/>
  <c r="Q41" i="1"/>
  <c r="Q117" i="1"/>
  <c r="Q8" i="1"/>
  <c r="Q67" i="1"/>
  <c r="Q18" i="1"/>
  <c r="Q34" i="1"/>
  <c r="P294" i="1"/>
  <c r="Q60" i="1"/>
  <c r="Q5" i="1"/>
  <c r="Q26" i="1"/>
  <c r="Q65" i="1"/>
  <c r="Q15" i="1"/>
  <c r="Q6" i="1"/>
  <c r="Q12" i="1"/>
  <c r="Q45" i="1"/>
  <c r="Q56" i="1"/>
  <c r="Q127" i="1"/>
  <c r="Q231" i="1"/>
  <c r="Q121" i="1"/>
  <c r="Q48" i="1"/>
  <c r="Q129" i="1"/>
  <c r="Q11" i="1"/>
  <c r="Q37" i="1"/>
  <c r="P364" i="1"/>
  <c r="Q81" i="1"/>
  <c r="Q170" i="1"/>
  <c r="Q22" i="1"/>
  <c r="Q49" i="1"/>
  <c r="P87" i="1"/>
  <c r="Q24" i="1"/>
  <c r="Q13" i="1"/>
  <c r="Q31" i="1"/>
  <c r="Q3" i="1"/>
  <c r="Q4" i="1"/>
  <c r="Q7" i="1"/>
  <c r="Q47" i="1"/>
  <c r="Q63" i="1"/>
  <c r="Q120" i="1"/>
  <c r="Q193" i="1"/>
  <c r="R89" i="1"/>
  <c r="R374" i="1"/>
  <c r="R82" i="1"/>
  <c r="P100" i="1"/>
  <c r="R106" i="1"/>
  <c r="R98" i="1"/>
  <c r="R100" i="1"/>
  <c r="R102" i="1"/>
  <c r="R99" i="1"/>
  <c r="R94" i="1"/>
  <c r="R84" i="1"/>
  <c r="P10" i="1"/>
  <c r="P8" i="1"/>
  <c r="P25" i="1"/>
  <c r="R90" i="1"/>
  <c r="R86" i="1"/>
  <c r="R95" i="1"/>
  <c r="Q84" i="1"/>
  <c r="Q101" i="1"/>
  <c r="P111" i="1"/>
  <c r="R115" i="1"/>
  <c r="R121" i="1"/>
  <c r="P134" i="1"/>
  <c r="Q133" i="1"/>
  <c r="P136" i="1"/>
  <c r="R174" i="1"/>
  <c r="R206" i="1"/>
  <c r="R221" i="1"/>
  <c r="Q214" i="1"/>
  <c r="R265" i="1"/>
  <c r="R315" i="1"/>
  <c r="P11" i="1"/>
  <c r="P20" i="1"/>
  <c r="R356" i="1"/>
  <c r="P55" i="1"/>
  <c r="P6" i="1"/>
  <c r="P4" i="1"/>
  <c r="P5" i="1"/>
  <c r="P7" i="1"/>
  <c r="P12" i="1"/>
  <c r="P13" i="1"/>
  <c r="P15" i="1"/>
  <c r="P24" i="1"/>
  <c r="P18" i="1"/>
  <c r="P22" i="1"/>
  <c r="P23" i="1"/>
  <c r="P21" i="1"/>
  <c r="P29" i="1"/>
  <c r="P26" i="1"/>
  <c r="P31" i="1"/>
  <c r="P34" i="1"/>
  <c r="P37" i="1"/>
  <c r="P40" i="1"/>
  <c r="P43" i="1"/>
  <c r="P38" i="1"/>
  <c r="P45" i="1"/>
  <c r="P47" i="1"/>
  <c r="P60" i="1"/>
  <c r="P49" i="1"/>
  <c r="P41" i="1"/>
  <c r="P48" i="1"/>
  <c r="P67" i="1"/>
  <c r="P56" i="1"/>
  <c r="P58" i="1"/>
  <c r="P65" i="1"/>
  <c r="P57" i="1"/>
  <c r="R55" i="1"/>
  <c r="P86" i="1"/>
  <c r="R101" i="1"/>
  <c r="Q111" i="1"/>
  <c r="P121" i="1"/>
  <c r="P139" i="1"/>
  <c r="Q136" i="1"/>
  <c r="P127" i="1"/>
  <c r="P170" i="1"/>
  <c r="P171" i="1"/>
  <c r="R179" i="1"/>
  <c r="Q191" i="1"/>
  <c r="R214" i="1"/>
  <c r="Q249" i="1"/>
  <c r="Q285" i="1"/>
  <c r="Q296" i="1"/>
  <c r="P290" i="1"/>
  <c r="R392" i="1"/>
  <c r="R111" i="1"/>
  <c r="Q274" i="1"/>
  <c r="R6" i="1"/>
  <c r="R13" i="1"/>
  <c r="R21" i="1"/>
  <c r="R40" i="1"/>
  <c r="R60" i="1"/>
  <c r="R58" i="1"/>
  <c r="R279" i="1"/>
  <c r="P106" i="1"/>
  <c r="Q151" i="1"/>
  <c r="R257" i="1"/>
  <c r="P469" i="1"/>
  <c r="P71" i="1"/>
  <c r="R68" i="1"/>
  <c r="Q89" i="1"/>
  <c r="R87" i="1"/>
  <c r="Q100" i="1"/>
  <c r="Q106" i="1"/>
  <c r="Q112" i="1"/>
  <c r="P130" i="1"/>
  <c r="Q157" i="1"/>
  <c r="R151" i="1"/>
  <c r="R146" i="1"/>
  <c r="R170" i="1"/>
  <c r="R171" i="1"/>
  <c r="Q208" i="1"/>
  <c r="Q217" i="1"/>
  <c r="Q256" i="1"/>
  <c r="Q298" i="1"/>
  <c r="Q290" i="1"/>
  <c r="Q321" i="1"/>
  <c r="Q469" i="1"/>
  <c r="R141" i="1"/>
  <c r="R4" i="1"/>
  <c r="R15" i="1"/>
  <c r="R23" i="1"/>
  <c r="R34" i="1"/>
  <c r="R45" i="1"/>
  <c r="R48" i="1"/>
  <c r="Q87" i="1"/>
  <c r="Q141" i="1"/>
  <c r="P218" i="1"/>
  <c r="P66" i="1"/>
  <c r="R78" i="1"/>
  <c r="R81" i="1"/>
  <c r="P82" i="1"/>
  <c r="P105" i="1"/>
  <c r="R112" i="1"/>
  <c r="R123" i="1"/>
  <c r="Q130" i="1"/>
  <c r="R140" i="1"/>
  <c r="P176" i="1"/>
  <c r="Q180" i="1"/>
  <c r="P177" i="1"/>
  <c r="Q258" i="1"/>
  <c r="Q272" i="1"/>
  <c r="P316" i="1"/>
  <c r="R5" i="1"/>
  <c r="R24" i="1"/>
  <c r="R29" i="1"/>
  <c r="R37" i="1"/>
  <c r="R47" i="1"/>
  <c r="R67" i="1"/>
  <c r="P81" i="1"/>
  <c r="P123" i="1"/>
  <c r="Q146" i="1"/>
  <c r="Q246" i="1"/>
  <c r="P61" i="1"/>
  <c r="Q80" i="1"/>
  <c r="R104" i="1"/>
  <c r="R208" i="1"/>
  <c r="R354" i="1"/>
  <c r="R185" i="1"/>
  <c r="Q398" i="1"/>
  <c r="R12" i="1"/>
  <c r="R22" i="1"/>
  <c r="R26" i="1"/>
  <c r="R43" i="1"/>
  <c r="R49" i="1"/>
  <c r="R56" i="1"/>
  <c r="R63" i="1"/>
  <c r="R109" i="1"/>
  <c r="R139" i="1"/>
  <c r="P189" i="1"/>
  <c r="R274" i="1"/>
  <c r="Q71" i="1"/>
  <c r="P470" i="1"/>
  <c r="Q66" i="1"/>
  <c r="Q82" i="1"/>
  <c r="Q116" i="1"/>
  <c r="Q128" i="1"/>
  <c r="R175" i="1"/>
  <c r="Q243" i="1"/>
  <c r="P298" i="1"/>
  <c r="Q276" i="1"/>
  <c r="P72" i="1"/>
  <c r="Q61" i="1"/>
  <c r="R66" i="1"/>
  <c r="R158" i="1"/>
  <c r="R196" i="1"/>
  <c r="R192" i="1"/>
  <c r="R223" i="1"/>
  <c r="R80" i="1"/>
  <c r="R294" i="1"/>
  <c r="R231" i="1"/>
  <c r="R129" i="1"/>
  <c r="R197" i="1"/>
  <c r="R177" i="1"/>
  <c r="R85" i="1"/>
  <c r="R69" i="1"/>
  <c r="P85" i="1"/>
  <c r="R93" i="1"/>
  <c r="R103" i="1"/>
  <c r="R116" i="1"/>
  <c r="P118" i="1"/>
  <c r="P137" i="1"/>
  <c r="R154" i="1"/>
  <c r="Q165" i="1"/>
  <c r="Q173" i="1"/>
  <c r="P187" i="1"/>
  <c r="Q194" i="1"/>
  <c r="Q202" i="1"/>
  <c r="P203" i="1"/>
  <c r="R316" i="1"/>
  <c r="Q324" i="1"/>
  <c r="R359" i="1"/>
  <c r="R339" i="1"/>
  <c r="R164" i="1"/>
  <c r="R218" i="1"/>
  <c r="R210" i="1"/>
  <c r="R7" i="1"/>
  <c r="R18" i="1"/>
  <c r="R31" i="1"/>
  <c r="R38" i="1"/>
  <c r="R41" i="1"/>
  <c r="R65" i="1"/>
  <c r="R110" i="1"/>
  <c r="R157" i="1"/>
  <c r="P231" i="1"/>
  <c r="P80" i="1"/>
  <c r="R71" i="1"/>
  <c r="P78" i="1"/>
  <c r="P122" i="1"/>
  <c r="Q140" i="1"/>
  <c r="Q177" i="1"/>
  <c r="Q232" i="1"/>
  <c r="P62" i="1"/>
  <c r="Q72" i="1"/>
  <c r="R61" i="1"/>
  <c r="R88" i="1"/>
  <c r="R92" i="1"/>
  <c r="P97" i="1"/>
  <c r="Q103" i="1"/>
  <c r="Q105" i="1"/>
  <c r="Q113" i="1"/>
  <c r="Q118" i="1"/>
  <c r="R128" i="1"/>
  <c r="P162" i="1"/>
  <c r="R173" i="1"/>
  <c r="R182" i="1"/>
  <c r="R194" i="1"/>
  <c r="R202" i="1"/>
  <c r="Q224" i="1"/>
  <c r="P318" i="1"/>
  <c r="R426" i="1"/>
  <c r="P3" i="1"/>
  <c r="P16" i="1"/>
  <c r="P17" i="1"/>
  <c r="P28" i="1"/>
  <c r="P30" i="1"/>
  <c r="P32" i="1"/>
  <c r="P33" i="1"/>
  <c r="P35" i="1"/>
  <c r="P44" i="1"/>
  <c r="P42" i="1"/>
  <c r="P36" i="1"/>
  <c r="P46" i="1"/>
  <c r="P50" i="1"/>
  <c r="P53" i="1"/>
  <c r="P54" i="1"/>
  <c r="P39" i="1"/>
  <c r="P52" i="1"/>
  <c r="P51" i="1"/>
  <c r="P59" i="1"/>
  <c r="P70" i="1"/>
  <c r="P64" i="1"/>
  <c r="Q62" i="1"/>
  <c r="R72" i="1"/>
  <c r="Q69" i="1"/>
  <c r="R79" i="1"/>
  <c r="P88" i="1"/>
  <c r="Q97" i="1"/>
  <c r="R113" i="1"/>
  <c r="R114" i="1"/>
  <c r="Q142" i="1"/>
  <c r="P143" i="1"/>
  <c r="P158" i="1"/>
  <c r="R184" i="1"/>
  <c r="Q167" i="1"/>
  <c r="Q213" i="1"/>
  <c r="R267" i="1"/>
  <c r="Q301" i="1"/>
  <c r="R417" i="1"/>
  <c r="Q428" i="1"/>
  <c r="Q20" i="1"/>
  <c r="Q32" i="1"/>
  <c r="Q46" i="1"/>
  <c r="Q51" i="1"/>
  <c r="Q59" i="1"/>
  <c r="Q70" i="1"/>
  <c r="Q64" i="1"/>
  <c r="R62" i="1"/>
  <c r="P79" i="1"/>
  <c r="Q88" i="1"/>
  <c r="Q85" i="1"/>
  <c r="Q83" i="1"/>
  <c r="R97" i="1"/>
  <c r="P113" i="1"/>
  <c r="R117" i="1"/>
  <c r="R118" i="1"/>
  <c r="Q132" i="1"/>
  <c r="Q143" i="1"/>
  <c r="Q158" i="1"/>
  <c r="Q153" i="1"/>
  <c r="P212" i="1"/>
  <c r="P235" i="1"/>
  <c r="R255" i="1"/>
  <c r="P270" i="1"/>
  <c r="Q320" i="1"/>
  <c r="P340" i="1"/>
  <c r="P418" i="1"/>
  <c r="Q403" i="1"/>
  <c r="P483" i="1"/>
  <c r="Q481" i="1"/>
  <c r="Q25" i="1"/>
  <c r="Q35" i="1"/>
  <c r="Q53" i="1"/>
  <c r="R9" i="1"/>
  <c r="R17" i="1"/>
  <c r="R32" i="1"/>
  <c r="R44" i="1"/>
  <c r="R53" i="1"/>
  <c r="R54" i="1"/>
  <c r="R39" i="1"/>
  <c r="R52" i="1"/>
  <c r="R51" i="1"/>
  <c r="R59" i="1"/>
  <c r="R70" i="1"/>
  <c r="R64" i="1"/>
  <c r="P75" i="1"/>
  <c r="Q79" i="1"/>
  <c r="R83" i="1"/>
  <c r="P107" i="1"/>
  <c r="P124" i="1"/>
  <c r="P142" i="1"/>
  <c r="P149" i="1"/>
  <c r="P147" i="1"/>
  <c r="P155" i="1"/>
  <c r="R153" i="1"/>
  <c r="R198" i="1"/>
  <c r="P271" i="1"/>
  <c r="R318" i="1"/>
  <c r="Q362" i="1"/>
  <c r="Q19" i="1"/>
  <c r="Q33" i="1"/>
  <c r="Q50" i="1"/>
  <c r="R3" i="1"/>
  <c r="R20" i="1"/>
  <c r="R27" i="1"/>
  <c r="R36" i="1"/>
  <c r="Q181" i="1"/>
  <c r="Q168" i="1"/>
  <c r="Q145" i="1"/>
  <c r="Q138" i="1"/>
  <c r="Q93" i="1"/>
  <c r="Q68" i="1"/>
  <c r="Q78" i="1"/>
  <c r="Q160" i="1"/>
  <c r="Q163" i="1"/>
  <c r="Q91" i="1"/>
  <c r="Q257" i="1"/>
  <c r="Q96" i="1"/>
  <c r="Q227" i="1"/>
  <c r="Q150" i="1"/>
  <c r="Q297" i="1"/>
  <c r="Q241" i="1"/>
  <c r="Q137" i="1"/>
  <c r="Q210" i="1"/>
  <c r="Q152" i="1"/>
  <c r="Q304" i="1"/>
  <c r="Q236" i="1"/>
  <c r="Q319" i="1"/>
  <c r="Q253" i="1"/>
  <c r="Q211" i="1"/>
  <c r="Q203" i="1"/>
  <c r="Q369" i="1"/>
  <c r="Q347" i="1"/>
  <c r="Q317" i="1"/>
  <c r="Q262" i="1"/>
  <c r="Q75" i="1"/>
  <c r="Q178" i="1"/>
  <c r="Q354" i="1"/>
  <c r="Q174" i="1"/>
  <c r="Q154" i="1"/>
  <c r="Q114" i="1"/>
  <c r="Q99" i="1"/>
  <c r="Q74" i="1"/>
  <c r="Q77" i="1"/>
  <c r="Q73" i="1"/>
  <c r="Q90" i="1"/>
  <c r="Q55" i="1"/>
  <c r="Q57" i="1"/>
  <c r="Q108" i="1"/>
  <c r="Q124" i="1"/>
  <c r="R142" i="1"/>
  <c r="Q147" i="1"/>
  <c r="Q155" i="1"/>
  <c r="R143" i="1"/>
  <c r="Q125" i="1"/>
  <c r="R188" i="1"/>
  <c r="P200" i="1"/>
  <c r="Q216" i="1"/>
  <c r="Q254" i="1"/>
  <c r="R259" i="1"/>
  <c r="R281" i="1"/>
  <c r="Q310" i="1"/>
  <c r="Q342" i="1"/>
  <c r="R375" i="1"/>
  <c r="Q431" i="1"/>
  <c r="P528" i="1"/>
  <c r="Q544" i="1"/>
  <c r="Q28" i="1"/>
  <c r="Q44" i="1"/>
  <c r="Q52" i="1"/>
  <c r="R16" i="1"/>
  <c r="R19" i="1"/>
  <c r="R30" i="1"/>
  <c r="R42" i="1"/>
  <c r="P74" i="1"/>
  <c r="R74" i="1"/>
  <c r="P101" i="1"/>
  <c r="R108" i="1"/>
  <c r="R124" i="1"/>
  <c r="R147" i="1"/>
  <c r="R155" i="1"/>
  <c r="R125" i="1"/>
  <c r="R178" i="1"/>
  <c r="R238" i="1"/>
  <c r="R254" i="1"/>
  <c r="Q247" i="1"/>
  <c r="P252" i="1"/>
  <c r="R304" i="1"/>
  <c r="R307" i="1"/>
  <c r="R329" i="1"/>
  <c r="P349" i="1"/>
  <c r="Q406" i="1"/>
  <c r="R431" i="1"/>
  <c r="P525" i="1"/>
  <c r="P9" i="1"/>
  <c r="P14" i="1"/>
  <c r="P19" i="1"/>
  <c r="P27" i="1"/>
  <c r="Q16" i="1"/>
  <c r="Q17" i="1"/>
  <c r="Q30" i="1"/>
  <c r="Q36" i="1"/>
  <c r="Q39" i="1"/>
  <c r="R11" i="1"/>
  <c r="R14" i="1"/>
  <c r="R25" i="1"/>
  <c r="R33" i="1"/>
  <c r="R46" i="1"/>
  <c r="P83" i="1"/>
  <c r="P73" i="1"/>
  <c r="R75" i="1"/>
  <c r="Q94" i="1"/>
  <c r="Q107" i="1"/>
  <c r="P129" i="1"/>
  <c r="Q134" i="1"/>
  <c r="P178" i="1"/>
  <c r="Q159" i="1"/>
  <c r="Q195" i="1"/>
  <c r="Q192" i="1"/>
  <c r="Q206" i="1"/>
  <c r="P197" i="1"/>
  <c r="Q499" i="1"/>
  <c r="Q14" i="1"/>
  <c r="Q27" i="1"/>
  <c r="Q42" i="1"/>
  <c r="Q54" i="1"/>
  <c r="R10" i="1"/>
  <c r="R8" i="1"/>
  <c r="R28" i="1"/>
  <c r="R35" i="1"/>
  <c r="R50" i="1"/>
  <c r="R76" i="1"/>
  <c r="P77" i="1"/>
  <c r="R77" i="1"/>
  <c r="R91" i="1"/>
  <c r="Q98" i="1"/>
  <c r="P90" i="1"/>
  <c r="R73" i="1"/>
  <c r="P133" i="1"/>
  <c r="P69" i="1"/>
  <c r="P292" i="1"/>
  <c r="P183" i="1"/>
  <c r="P182" i="1"/>
  <c r="P131" i="1"/>
  <c r="P76" i="1"/>
  <c r="P268" i="1"/>
  <c r="P237" i="1"/>
  <c r="P207" i="1"/>
  <c r="P175" i="1"/>
  <c r="P264" i="1"/>
  <c r="P251" i="1"/>
  <c r="P293" i="1"/>
  <c r="P297" i="1"/>
  <c r="P289" i="1"/>
  <c r="P227" i="1"/>
  <c r="P194" i="1"/>
  <c r="P160" i="1"/>
  <c r="P163" i="1"/>
  <c r="P233" i="1"/>
  <c r="P210" i="1"/>
  <c r="P216" i="1"/>
  <c r="P209" i="1"/>
  <c r="P205" i="1"/>
  <c r="P196" i="1"/>
  <c r="P199" i="1"/>
  <c r="P151" i="1"/>
  <c r="P394" i="1"/>
  <c r="P338" i="1"/>
  <c r="P179" i="1"/>
  <c r="P156" i="1"/>
  <c r="P331" i="1"/>
  <c r="P333" i="1"/>
  <c r="P261" i="1"/>
  <c r="P245" i="1"/>
  <c r="P253" i="1"/>
  <c r="P211" i="1"/>
  <c r="P63" i="1"/>
  <c r="P148" i="1"/>
  <c r="P116" i="1"/>
  <c r="P498" i="1"/>
  <c r="P153" i="1"/>
  <c r="P436" i="1"/>
  <c r="P173" i="1"/>
  <c r="P146" i="1"/>
  <c r="P164" i="1"/>
  <c r="P125" i="1"/>
  <c r="P157" i="1"/>
  <c r="P115" i="1"/>
  <c r="P108" i="1"/>
  <c r="P94" i="1"/>
  <c r="Q86" i="1"/>
  <c r="P91" i="1"/>
  <c r="R96" i="1"/>
  <c r="R107" i="1"/>
  <c r="Q115" i="1"/>
  <c r="R134" i="1"/>
  <c r="P166" i="1"/>
  <c r="P174" i="1"/>
  <c r="R159" i="1"/>
  <c r="P337" i="1"/>
  <c r="Q334" i="1"/>
  <c r="R366" i="1"/>
  <c r="R406" i="1"/>
  <c r="P497" i="1"/>
  <c r="R105" i="1"/>
  <c r="R130" i="1"/>
  <c r="R127" i="1"/>
  <c r="R166" i="1"/>
  <c r="P185" i="1"/>
  <c r="R195" i="1"/>
  <c r="R191" i="1"/>
  <c r="P221" i="1"/>
  <c r="Q212" i="1"/>
  <c r="R213" i="1"/>
  <c r="R232" i="1"/>
  <c r="Q238" i="1"/>
  <c r="P255" i="1"/>
  <c r="P265" i="1"/>
  <c r="P288" i="1"/>
  <c r="R298" i="1"/>
  <c r="R320" i="1"/>
  <c r="P315" i="1"/>
  <c r="P362" i="1"/>
  <c r="R398" i="1"/>
  <c r="P431" i="1"/>
  <c r="Q404" i="1"/>
  <c r="Q528" i="1"/>
  <c r="R119" i="1"/>
  <c r="R126" i="1"/>
  <c r="R224" i="1"/>
  <c r="Q259" i="1"/>
  <c r="P278" i="1"/>
  <c r="R310" i="1"/>
  <c r="Q308" i="1"/>
  <c r="R371" i="1"/>
  <c r="R400" i="1"/>
  <c r="P494" i="1"/>
  <c r="R537" i="1"/>
  <c r="P274" i="1"/>
  <c r="P263" i="1"/>
  <c r="P241" i="1"/>
  <c r="P399" i="1"/>
  <c r="P325" i="1"/>
  <c r="P374" i="1"/>
  <c r="P249" i="1"/>
  <c r="P222" i="1"/>
  <c r="P214" i="1"/>
  <c r="P243" i="1"/>
  <c r="P559" i="1"/>
  <c r="P484" i="1"/>
  <c r="P398" i="1"/>
  <c r="P329" i="1"/>
  <c r="P320" i="1"/>
  <c r="P260" i="1"/>
  <c r="P229" i="1"/>
  <c r="P213" i="1"/>
  <c r="P206" i="1"/>
  <c r="P184" i="1"/>
  <c r="P159" i="1"/>
  <c r="P181" i="1"/>
  <c r="P152" i="1"/>
  <c r="P415" i="1"/>
  <c r="P363" i="1"/>
  <c r="P351" i="1"/>
  <c r="P343" i="1"/>
  <c r="P303" i="1"/>
  <c r="P304" i="1"/>
  <c r="P257" i="1"/>
  <c r="P240" i="1"/>
  <c r="P202" i="1"/>
  <c r="P186" i="1"/>
  <c r="P154" i="1"/>
  <c r="P119" i="1"/>
  <c r="P112" i="1"/>
  <c r="P117" i="1"/>
  <c r="P109" i="1"/>
  <c r="P114" i="1"/>
  <c r="P98" i="1"/>
  <c r="P104" i="1"/>
  <c r="P102" i="1"/>
  <c r="P110" i="1"/>
  <c r="P103" i="1"/>
  <c r="P96" i="1"/>
  <c r="P93" i="1"/>
  <c r="P99" i="1"/>
  <c r="P84" i="1"/>
  <c r="P92" i="1"/>
  <c r="P95" i="1"/>
  <c r="P89" i="1"/>
  <c r="P512" i="1"/>
  <c r="P269" i="1"/>
  <c r="P276" i="1"/>
  <c r="P262" i="1"/>
  <c r="P236" i="1"/>
  <c r="P230" i="1"/>
  <c r="P198" i="1"/>
  <c r="P195" i="1"/>
  <c r="P150" i="1"/>
  <c r="P120" i="1"/>
  <c r="P522" i="1"/>
  <c r="P344" i="1"/>
  <c r="P309" i="1"/>
  <c r="P313" i="1"/>
  <c r="P285" i="1"/>
  <c r="P256" i="1"/>
  <c r="P226" i="1"/>
  <c r="P215" i="1"/>
  <c r="P167" i="1"/>
  <c r="P172" i="1"/>
  <c r="P141" i="1"/>
  <c r="Q92" i="1"/>
  <c r="Q104" i="1"/>
  <c r="Q119" i="1"/>
  <c r="R135" i="1"/>
  <c r="Q139" i="1"/>
  <c r="P126" i="1"/>
  <c r="Q148" i="1"/>
  <c r="R172" i="1"/>
  <c r="Q171" i="1"/>
  <c r="P169" i="1"/>
  <c r="R180" i="1"/>
  <c r="P201" i="1"/>
  <c r="R215" i="1"/>
  <c r="P193" i="1"/>
  <c r="P224" i="1"/>
  <c r="P267" i="1"/>
  <c r="P296" i="1"/>
  <c r="P302" i="1"/>
  <c r="P330" i="1"/>
  <c r="Q326" i="1"/>
  <c r="P369" i="1"/>
  <c r="R365" i="1"/>
  <c r="P327" i="1"/>
  <c r="R349" i="1"/>
  <c r="Q388" i="1"/>
  <c r="R370" i="1"/>
  <c r="P405" i="1"/>
  <c r="P400" i="1"/>
  <c r="R420" i="1"/>
  <c r="P422" i="1"/>
  <c r="P442" i="1"/>
  <c r="P495" i="1"/>
  <c r="P508" i="1"/>
  <c r="R201" i="1"/>
  <c r="R340" i="1"/>
  <c r="R364" i="1"/>
  <c r="R428" i="1"/>
  <c r="Q459" i="1"/>
  <c r="Q440" i="1"/>
  <c r="Q426" i="1"/>
  <c r="Q265" i="1"/>
  <c r="Q190" i="1"/>
  <c r="Q198" i="1"/>
  <c r="Q204" i="1"/>
  <c r="Q205" i="1"/>
  <c r="Q187" i="1"/>
  <c r="Q201" i="1"/>
  <c r="Q199" i="1"/>
  <c r="Q186" i="1"/>
  <c r="Q184" i="1"/>
  <c r="Q189" i="1"/>
  <c r="Q183" i="1"/>
  <c r="Q144" i="1"/>
  <c r="Q392" i="1"/>
  <c r="Q176" i="1"/>
  <c r="Q161" i="1"/>
  <c r="Q122" i="1"/>
  <c r="Q294" i="1"/>
  <c r="Q270" i="1"/>
  <c r="Q169" i="1"/>
  <c r="Q156" i="1"/>
  <c r="Q131" i="1"/>
  <c r="Q330" i="1"/>
  <c r="Q539" i="1"/>
  <c r="Q185" i="1"/>
  <c r="Q166" i="1"/>
  <c r="Q135" i="1"/>
  <c r="Q123" i="1"/>
  <c r="P135" i="1"/>
  <c r="Q126" i="1"/>
  <c r="P140" i="1"/>
  <c r="R144" i="1"/>
  <c r="Q172" i="1"/>
  <c r="R165" i="1"/>
  <c r="P180" i="1"/>
  <c r="P204" i="1"/>
  <c r="R193" i="1"/>
  <c r="Q234" i="1"/>
  <c r="P223" i="1"/>
  <c r="R219" i="1"/>
  <c r="R244" i="1"/>
  <c r="Q245" i="1"/>
  <c r="Q267" i="1"/>
  <c r="Q261" i="1"/>
  <c r="R247" i="1"/>
  <c r="Q277" i="1"/>
  <c r="P259" i="1"/>
  <c r="P287" i="1"/>
  <c r="R278" i="1"/>
  <c r="P319" i="1"/>
  <c r="Q331" i="1"/>
  <c r="P295" i="1"/>
  <c r="Q405" i="1"/>
  <c r="Q435" i="1"/>
  <c r="R439" i="1"/>
  <c r="R383" i="1"/>
  <c r="R510" i="1"/>
  <c r="R167" i="1"/>
  <c r="R243" i="1"/>
  <c r="P266" i="1"/>
  <c r="R302" i="1"/>
  <c r="R343" i="1"/>
  <c r="P326" i="1"/>
  <c r="Q370" i="1"/>
  <c r="P419" i="1"/>
  <c r="P479" i="1"/>
  <c r="Q95" i="1"/>
  <c r="Q102" i="1"/>
  <c r="R132" i="1"/>
  <c r="R136" i="1"/>
  <c r="P144" i="1"/>
  <c r="P165" i="1"/>
  <c r="Q179" i="1"/>
  <c r="R189" i="1"/>
  <c r="P192" i="1"/>
  <c r="R200" i="1"/>
  <c r="R203" i="1"/>
  <c r="Q223" i="1"/>
  <c r="R211" i="1"/>
  <c r="P219" i="1"/>
  <c r="P244" i="1"/>
  <c r="R245" i="1"/>
  <c r="R262" i="1"/>
  <c r="R296" i="1"/>
  <c r="R300" i="1"/>
  <c r="P332" i="1"/>
  <c r="Q335" i="1"/>
  <c r="Q295" i="1"/>
  <c r="R405" i="1"/>
  <c r="P447" i="1"/>
  <c r="Q487" i="1"/>
  <c r="Q489" i="1"/>
  <c r="R240" i="1"/>
  <c r="Q229" i="1"/>
  <c r="Q233" i="1"/>
  <c r="R260" i="1"/>
  <c r="R319" i="1"/>
  <c r="Q332" i="1"/>
  <c r="R295" i="1"/>
  <c r="Q355" i="1"/>
  <c r="R385" i="1"/>
  <c r="P437" i="1"/>
  <c r="Q401" i="1"/>
  <c r="P396" i="1"/>
  <c r="R216" i="1"/>
  <c r="R236" i="1"/>
  <c r="R229" i="1"/>
  <c r="R263" i="1"/>
  <c r="Q275" i="1"/>
  <c r="Q289" i="1"/>
  <c r="R287" i="1"/>
  <c r="P328" i="1"/>
  <c r="R355" i="1"/>
  <c r="R369" i="1"/>
  <c r="R402" i="1"/>
  <c r="Q445" i="1"/>
  <c r="R489" i="1"/>
  <c r="P532" i="1"/>
  <c r="R137" i="1"/>
  <c r="Q149" i="1"/>
  <c r="R152" i="1"/>
  <c r="R163" i="1"/>
  <c r="R253" i="1"/>
  <c r="Q239" i="1"/>
  <c r="Q282" i="1"/>
  <c r="Q328" i="1"/>
  <c r="Q306" i="1"/>
  <c r="R345" i="1"/>
  <c r="R373" i="1"/>
  <c r="R384" i="1"/>
  <c r="R352" i="1"/>
  <c r="Q394" i="1"/>
  <c r="P538" i="1"/>
  <c r="Q559" i="1"/>
  <c r="R150" i="1"/>
  <c r="Q162" i="1"/>
  <c r="Q175" i="1"/>
  <c r="Q207" i="1"/>
  <c r="Q228" i="1"/>
  <c r="R230" i="1"/>
  <c r="R275" i="1"/>
  <c r="Q268" i="1"/>
  <c r="R282" i="1"/>
  <c r="R301" i="1"/>
  <c r="Q309" i="1"/>
  <c r="R368" i="1"/>
  <c r="P412" i="1"/>
  <c r="P446" i="1"/>
  <c r="P443" i="1"/>
  <c r="Q456" i="1"/>
  <c r="R554" i="1"/>
  <c r="R183" i="1"/>
  <c r="Q188" i="1"/>
  <c r="Q226" i="1"/>
  <c r="R268" i="1"/>
  <c r="P291" i="1"/>
  <c r="P311" i="1"/>
  <c r="R328" i="1"/>
  <c r="R309" i="1"/>
  <c r="R299" i="1"/>
  <c r="R293" i="1"/>
  <c r="R363" i="1"/>
  <c r="Q414" i="1"/>
  <c r="Q453" i="1"/>
  <c r="Q476" i="1"/>
  <c r="R149" i="1"/>
  <c r="R168" i="1"/>
  <c r="R226" i="1"/>
  <c r="Q367" i="1"/>
  <c r="P378" i="1"/>
  <c r="R381" i="1"/>
  <c r="Q390" i="1"/>
  <c r="P372" i="1"/>
  <c r="P423" i="1"/>
  <c r="R453" i="1"/>
  <c r="Q507" i="1"/>
  <c r="P560" i="1"/>
  <c r="P138" i="1"/>
  <c r="R186" i="1"/>
  <c r="R190" i="1"/>
  <c r="R220" i="1"/>
  <c r="R228" i="1"/>
  <c r="R241" i="1"/>
  <c r="R273" i="1"/>
  <c r="R297" i="1"/>
  <c r="R314" i="1"/>
  <c r="R322" i="1"/>
  <c r="R336" i="1"/>
  <c r="Q460" i="1"/>
  <c r="P68" i="1"/>
  <c r="S68" i="1" s="1"/>
  <c r="Q76" i="1"/>
  <c r="Q109" i="1"/>
  <c r="R133" i="1"/>
  <c r="R138" i="1"/>
  <c r="P145" i="1"/>
  <c r="P161" i="1"/>
  <c r="P168" i="1"/>
  <c r="R162" i="1"/>
  <c r="R181" i="1"/>
  <c r="Q182" i="1"/>
  <c r="P188" i="1"/>
  <c r="P190" i="1"/>
  <c r="R207" i="1"/>
  <c r="P220" i="1"/>
  <c r="P208" i="1"/>
  <c r="P242" i="1"/>
  <c r="P246" i="1"/>
  <c r="P273" i="1"/>
  <c r="Q252" i="1"/>
  <c r="Q312" i="1"/>
  <c r="P350" i="1"/>
  <c r="P322" i="1"/>
  <c r="Q313" i="1"/>
  <c r="Q348" i="1"/>
  <c r="R378" i="1"/>
  <c r="R390" i="1"/>
  <c r="Q372" i="1"/>
  <c r="Q434" i="1"/>
  <c r="P404" i="1"/>
  <c r="Q423" i="1"/>
  <c r="P486" i="1"/>
  <c r="Q516" i="1"/>
  <c r="P128" i="1"/>
  <c r="P424" i="1"/>
  <c r="R561" i="1"/>
  <c r="R555" i="1"/>
  <c r="R531" i="1"/>
  <c r="R550" i="1"/>
  <c r="R528" i="1"/>
  <c r="R536" i="1"/>
  <c r="R520" i="1"/>
  <c r="R494" i="1"/>
  <c r="R464" i="1"/>
  <c r="R478" i="1"/>
  <c r="R474" i="1"/>
  <c r="R382" i="1"/>
  <c r="R509" i="1"/>
  <c r="R546" i="1"/>
  <c r="R541" i="1"/>
  <c r="R543" i="1"/>
  <c r="R529" i="1"/>
  <c r="R496" i="1"/>
  <c r="R500" i="1"/>
  <c r="R485" i="1"/>
  <c r="R469" i="1"/>
  <c r="R563" i="1"/>
  <c r="R519" i="1"/>
  <c r="R497" i="1"/>
  <c r="R481" i="1"/>
  <c r="R476" i="1"/>
  <c r="R545" i="1"/>
  <c r="R521" i="1"/>
  <c r="R523" i="1"/>
  <c r="R517" i="1"/>
  <c r="R495" i="1"/>
  <c r="R479" i="1"/>
  <c r="R419" i="1"/>
  <c r="R471" i="1"/>
  <c r="R430" i="1"/>
  <c r="R558" i="1"/>
  <c r="R553" i="1"/>
  <c r="R492" i="1"/>
  <c r="R480" i="1"/>
  <c r="R444" i="1"/>
  <c r="R395" i="1"/>
  <c r="R415" i="1"/>
  <c r="R399" i="1"/>
  <c r="R321" i="1"/>
  <c r="R438" i="1"/>
  <c r="R380" i="1"/>
  <c r="R377" i="1"/>
  <c r="R468" i="1"/>
  <c r="R441" i="1"/>
  <c r="R409" i="1"/>
  <c r="R367" i="1"/>
  <c r="R557" i="1"/>
  <c r="R486" i="1"/>
  <c r="R421" i="1"/>
  <c r="R544" i="1"/>
  <c r="R393" i="1"/>
  <c r="R362" i="1"/>
  <c r="R331" i="1"/>
  <c r="R323" i="1"/>
  <c r="R303" i="1"/>
  <c r="R289" i="1"/>
  <c r="R449" i="1"/>
  <c r="R358" i="1"/>
  <c r="R290" i="1"/>
  <c r="R249" i="1"/>
  <c r="R353" i="1"/>
  <c r="R506" i="1"/>
  <c r="R376" i="1"/>
  <c r="R327" i="1"/>
  <c r="R341" i="1"/>
  <c r="R286" i="1"/>
  <c r="R312" i="1"/>
  <c r="R266" i="1"/>
  <c r="R533" i="1"/>
  <c r="R502" i="1"/>
  <c r="R403" i="1"/>
  <c r="R397" i="1"/>
  <c r="R348" i="1"/>
  <c r="R505" i="1"/>
  <c r="R457" i="1"/>
  <c r="R330" i="1"/>
  <c r="R276" i="1"/>
  <c r="R242" i="1"/>
  <c r="R325" i="1"/>
  <c r="R305" i="1"/>
  <c r="R288" i="1"/>
  <c r="R333" i="1"/>
  <c r="R350" i="1"/>
  <c r="R425" i="1"/>
  <c r="R285" i="1"/>
  <c r="R225" i="1"/>
  <c r="R389" i="1"/>
  <c r="R360" i="1"/>
  <c r="R313" i="1"/>
  <c r="R120" i="1"/>
  <c r="Q164" i="1"/>
  <c r="R187" i="1"/>
  <c r="P191" i="1"/>
  <c r="R212" i="1"/>
  <c r="Q242" i="1"/>
  <c r="R256" i="1"/>
  <c r="R271" i="1"/>
  <c r="R252" i="1"/>
  <c r="R291" i="1"/>
  <c r="P280" i="1"/>
  <c r="Q307" i="1"/>
  <c r="R324" i="1"/>
  <c r="R351" i="1"/>
  <c r="Q315" i="1"/>
  <c r="P334" i="1"/>
  <c r="P390" i="1"/>
  <c r="Q391" i="1"/>
  <c r="Q480" i="1"/>
  <c r="R551" i="1"/>
  <c r="R131" i="1"/>
  <c r="R156" i="1"/>
  <c r="R169" i="1"/>
  <c r="R199" i="1"/>
  <c r="Q230" i="1"/>
  <c r="Q225" i="1"/>
  <c r="R235" i="1"/>
  <c r="Q248" i="1"/>
  <c r="R237" i="1"/>
  <c r="R261" i="1"/>
  <c r="R270" i="1"/>
  <c r="R337" i="1"/>
  <c r="R342" i="1"/>
  <c r="R344" i="1"/>
  <c r="R306" i="1"/>
  <c r="Q361" i="1"/>
  <c r="R334" i="1"/>
  <c r="Q427" i="1"/>
  <c r="P410" i="1"/>
  <c r="P444" i="1"/>
  <c r="Q496" i="1"/>
  <c r="Q526" i="1"/>
  <c r="P531" i="1"/>
  <c r="P556" i="1"/>
  <c r="Q346" i="1"/>
  <c r="R427" i="1"/>
  <c r="Q493" i="1"/>
  <c r="P527" i="1"/>
  <c r="Q531" i="1"/>
  <c r="R122" i="1"/>
  <c r="R161" i="1"/>
  <c r="R176" i="1"/>
  <c r="R209" i="1"/>
  <c r="R217" i="1"/>
  <c r="Q278" i="1"/>
  <c r="Q316" i="1"/>
  <c r="Q350" i="1"/>
  <c r="Q303" i="1"/>
  <c r="Q343" i="1"/>
  <c r="P348" i="1"/>
  <c r="Q363" i="1"/>
  <c r="R386" i="1"/>
  <c r="R346" i="1"/>
  <c r="Q415" i="1"/>
  <c r="R436" i="1"/>
  <c r="R455" i="1"/>
  <c r="P454" i="1"/>
  <c r="R470" i="1"/>
  <c r="P480" i="1"/>
  <c r="R148" i="1"/>
  <c r="R160" i="1"/>
  <c r="R204" i="1"/>
  <c r="Q244" i="1"/>
  <c r="Q255" i="1"/>
  <c r="R239" i="1"/>
  <c r="R277" i="1"/>
  <c r="Q291" i="1"/>
  <c r="P300" i="1"/>
  <c r="P380" i="1"/>
  <c r="P435" i="1"/>
  <c r="R145" i="1"/>
  <c r="R205" i="1"/>
  <c r="Q271" i="1"/>
  <c r="R246" i="1"/>
  <c r="P281" i="1"/>
  <c r="P317" i="1"/>
  <c r="R338" i="1"/>
  <c r="P367" i="1"/>
  <c r="Q349" i="1"/>
  <c r="P475" i="1"/>
  <c r="R525" i="1"/>
  <c r="Q553" i="1"/>
  <c r="Q200" i="1"/>
  <c r="Q218" i="1"/>
  <c r="Q220" i="1"/>
  <c r="Q209" i="1"/>
  <c r="Q215" i="1"/>
  <c r="Q221" i="1"/>
  <c r="Q219" i="1"/>
  <c r="Q222" i="1"/>
  <c r="Q237" i="1"/>
  <c r="R258" i="1"/>
  <c r="P239" i="1"/>
  <c r="Q250" i="1"/>
  <c r="P282" i="1"/>
  <c r="Q279" i="1"/>
  <c r="P307" i="1"/>
  <c r="P299" i="1"/>
  <c r="Q286" i="1"/>
  <c r="R332" i="1"/>
  <c r="P308" i="1"/>
  <c r="P342" i="1"/>
  <c r="Q341" i="1"/>
  <c r="R326" i="1"/>
  <c r="Q327" i="1"/>
  <c r="Q376" i="1"/>
  <c r="R388" i="1"/>
  <c r="Q400" i="1"/>
  <c r="P421" i="1"/>
  <c r="Q436" i="1"/>
  <c r="P453" i="1"/>
  <c r="Q470" i="1"/>
  <c r="Q486" i="1"/>
  <c r="Q494" i="1"/>
  <c r="P529" i="1"/>
  <c r="P563" i="1"/>
  <c r="P228" i="1"/>
  <c r="R222" i="1"/>
  <c r="P225" i="1"/>
  <c r="Q251" i="1"/>
  <c r="P258" i="1"/>
  <c r="R250" i="1"/>
  <c r="P275" i="1"/>
  <c r="Q269" i="1"/>
  <c r="P305" i="1"/>
  <c r="P312" i="1"/>
  <c r="P370" i="1"/>
  <c r="Q399" i="1"/>
  <c r="R379" i="1"/>
  <c r="P406" i="1"/>
  <c r="Q437" i="1"/>
  <c r="P441" i="1"/>
  <c r="P439" i="1"/>
  <c r="Q461" i="1"/>
  <c r="Q529" i="1"/>
  <c r="Q532" i="1"/>
  <c r="R251" i="1"/>
  <c r="Q263" i="1"/>
  <c r="P250" i="1"/>
  <c r="R269" i="1"/>
  <c r="P279" i="1"/>
  <c r="Q314" i="1"/>
  <c r="P283" i="1"/>
  <c r="P321" i="1"/>
  <c r="P335" i="1"/>
  <c r="P353" i="1"/>
  <c r="R357" i="1"/>
  <c r="Q381" i="1"/>
  <c r="Q375" i="1"/>
  <c r="Q379" i="1"/>
  <c r="Q424" i="1"/>
  <c r="Q441" i="1"/>
  <c r="Q455" i="1"/>
  <c r="R463" i="1"/>
  <c r="Q439" i="1"/>
  <c r="R461" i="1"/>
  <c r="P515" i="1"/>
  <c r="P550" i="1"/>
  <c r="P552" i="1"/>
  <c r="Q280" i="1"/>
  <c r="Q283" i="1"/>
  <c r="R284" i="1"/>
  <c r="Q293" i="1"/>
  <c r="Q336" i="1"/>
  <c r="Q357" i="1"/>
  <c r="R411" i="1"/>
  <c r="R424" i="1"/>
  <c r="P430" i="1"/>
  <c r="Q429" i="1"/>
  <c r="Q449" i="1"/>
  <c r="P463" i="1"/>
  <c r="P461" i="1"/>
  <c r="P482" i="1"/>
  <c r="P503" i="1"/>
  <c r="Q540" i="1"/>
  <c r="P507" i="1"/>
  <c r="Q235" i="1"/>
  <c r="R233" i="1"/>
  <c r="Q260" i="1"/>
  <c r="R292" i="1"/>
  <c r="R280" i="1"/>
  <c r="Q305" i="1"/>
  <c r="P314" i="1"/>
  <c r="R283" i="1"/>
  <c r="P284" i="1"/>
  <c r="Q338" i="1"/>
  <c r="R335" i="1"/>
  <c r="Q340" i="1"/>
  <c r="Q351" i="1"/>
  <c r="P354" i="1"/>
  <c r="P345" i="1"/>
  <c r="R347" i="1"/>
  <c r="Q374" i="1"/>
  <c r="Q325" i="1"/>
  <c r="P375" i="1"/>
  <c r="P352" i="1"/>
  <c r="Q356" i="1"/>
  <c r="P402" i="1"/>
  <c r="P420" i="1"/>
  <c r="P411" i="1"/>
  <c r="Q430" i="1"/>
  <c r="R429" i="1"/>
  <c r="Q490" i="1"/>
  <c r="R498" i="1"/>
  <c r="Q484" i="1"/>
  <c r="Q425" i="1"/>
  <c r="Q422" i="1"/>
  <c r="R423" i="1"/>
  <c r="R450" i="1"/>
  <c r="Q454" i="1"/>
  <c r="P466" i="1"/>
  <c r="Q396" i="1"/>
  <c r="Q501" i="1"/>
  <c r="Q511" i="1"/>
  <c r="P541" i="1"/>
  <c r="P555" i="1"/>
  <c r="P518" i="1"/>
  <c r="P548" i="1"/>
  <c r="P473" i="1"/>
  <c r="P414" i="1"/>
  <c r="P428" i="1"/>
  <c r="P413" i="1"/>
  <c r="P388" i="1"/>
  <c r="P381" i="1"/>
  <c r="P306" i="1"/>
  <c r="P513" i="1"/>
  <c r="P409" i="1"/>
  <c r="P384" i="1"/>
  <c r="P368" i="1"/>
  <c r="P336" i="1"/>
  <c r="P542" i="1"/>
  <c r="P534" i="1"/>
  <c r="P504" i="1"/>
  <c r="P487" i="1"/>
  <c r="P462" i="1"/>
  <c r="P397" i="1"/>
  <c r="P535" i="1"/>
  <c r="P427" i="1"/>
  <c r="P539" i="1"/>
  <c r="P467" i="1"/>
  <c r="P456" i="1"/>
  <c r="P401" i="1"/>
  <c r="P403" i="1"/>
  <c r="P451" i="1"/>
  <c r="P429" i="1"/>
  <c r="P346" i="1"/>
  <c r="P376" i="1"/>
  <c r="P365" i="1"/>
  <c r="P341" i="1"/>
  <c r="P286" i="1"/>
  <c r="P516" i="1"/>
  <c r="P540" i="1"/>
  <c r="P511" i="1"/>
  <c r="P460" i="1"/>
  <c r="P449" i="1"/>
  <c r="P393" i="1"/>
  <c r="P359" i="1"/>
  <c r="P324" i="1"/>
  <c r="P549" i="1"/>
  <c r="P452" i="1"/>
  <c r="P450" i="1"/>
  <c r="P356" i="1"/>
  <c r="P386" i="1"/>
  <c r="P373" i="1"/>
  <c r="P438" i="1"/>
  <c r="P387" i="1"/>
  <c r="P377" i="1"/>
  <c r="P358" i="1"/>
  <c r="P357" i="1"/>
  <c r="P323" i="1"/>
  <c r="P490" i="1"/>
  <c r="P459" i="1"/>
  <c r="P355" i="1"/>
  <c r="P416" i="1"/>
  <c r="P366" i="1"/>
  <c r="P310" i="1"/>
  <c r="R234" i="1"/>
  <c r="P217" i="1"/>
  <c r="P238" i="1"/>
  <c r="R248" i="1"/>
  <c r="P254" i="1"/>
  <c r="Q264" i="1"/>
  <c r="P277" i="1"/>
  <c r="R272" i="1"/>
  <c r="Q287" i="1"/>
  <c r="Q311" i="1"/>
  <c r="Q318" i="1"/>
  <c r="R361" i="1"/>
  <c r="P360" i="1"/>
  <c r="Q364" i="1"/>
  <c r="P339" i="1"/>
  <c r="P371" i="1"/>
  <c r="P389" i="1"/>
  <c r="P385" i="1"/>
  <c r="Q380" i="1"/>
  <c r="P434" i="1"/>
  <c r="R443" i="1"/>
  <c r="R454" i="1"/>
  <c r="R396" i="1"/>
  <c r="R501" i="1"/>
  <c r="R513" i="1"/>
  <c r="P562" i="1"/>
  <c r="Q562" i="1"/>
  <c r="Q556" i="1"/>
  <c r="Q552" i="1"/>
  <c r="Q530" i="1"/>
  <c r="Q547" i="1"/>
  <c r="Q538" i="1"/>
  <c r="Q524" i="1"/>
  <c r="Q514" i="1"/>
  <c r="Q503" i="1"/>
  <c r="Q548" i="1"/>
  <c r="Q518" i="1"/>
  <c r="Q512" i="1"/>
  <c r="Q542" i="1"/>
  <c r="Q504" i="1"/>
  <c r="Q515" i="1"/>
  <c r="Q483" i="1"/>
  <c r="Q535" i="1"/>
  <c r="Q466" i="1"/>
  <c r="Q467" i="1"/>
  <c r="Q448" i="1"/>
  <c r="Q491" i="1"/>
  <c r="Q442" i="1"/>
  <c r="Q420" i="1"/>
  <c r="Q527" i="1"/>
  <c r="Q525" i="1"/>
  <c r="Q417" i="1"/>
  <c r="Q549" i="1"/>
  <c r="Q333" i="1"/>
  <c r="Q433" i="1"/>
  <c r="Q418" i="1"/>
  <c r="Q407" i="1"/>
  <c r="Q412" i="1"/>
  <c r="Q360" i="1"/>
  <c r="Q475" i="1"/>
  <c r="Q421" i="1"/>
  <c r="R227" i="1"/>
  <c r="P234" i="1"/>
  <c r="P232" i="1"/>
  <c r="Q240" i="1"/>
  <c r="P248" i="1"/>
  <c r="R264" i="1"/>
  <c r="P247" i="1"/>
  <c r="Q273" i="1"/>
  <c r="P272" i="1"/>
  <c r="R311" i="1"/>
  <c r="P301" i="1"/>
  <c r="R317" i="1"/>
  <c r="Q302" i="1"/>
  <c r="Q329" i="1"/>
  <c r="P361" i="1"/>
  <c r="Q339" i="1"/>
  <c r="Q373" i="1"/>
  <c r="P425" i="1"/>
  <c r="Q408" i="1"/>
  <c r="P448" i="1"/>
  <c r="R466" i="1"/>
  <c r="P501" i="1"/>
  <c r="Q508" i="1"/>
  <c r="Q513" i="1"/>
  <c r="P499" i="1"/>
  <c r="Q520" i="1"/>
  <c r="Q266" i="1"/>
  <c r="Q323" i="1"/>
  <c r="Q358" i="1"/>
  <c r="Q377" i="1"/>
  <c r="Q409" i="1"/>
  <c r="Q413" i="1"/>
  <c r="Q387" i="1"/>
  <c r="P433" i="1"/>
  <c r="Q438" i="1"/>
  <c r="R414" i="1"/>
  <c r="R448" i="1"/>
  <c r="P474" i="1"/>
  <c r="Q497" i="1"/>
  <c r="P500" i="1"/>
  <c r="P517" i="1"/>
  <c r="Q541" i="1"/>
  <c r="P382" i="1"/>
  <c r="Q563" i="1"/>
  <c r="Q292" i="1"/>
  <c r="Q299" i="1"/>
  <c r="R413" i="1"/>
  <c r="R387" i="1"/>
  <c r="R418" i="1"/>
  <c r="P432" i="1"/>
  <c r="Q452" i="1"/>
  <c r="P458" i="1"/>
  <c r="R410" i="1"/>
  <c r="Q473" i="1"/>
  <c r="P477" i="1"/>
  <c r="Q500" i="1"/>
  <c r="P526" i="1"/>
  <c r="Q382" i="1"/>
  <c r="Q281" i="1"/>
  <c r="Q359" i="1"/>
  <c r="Q389" i="1"/>
  <c r="Q432" i="1"/>
  <c r="R452" i="1"/>
  <c r="Q477" i="1"/>
  <c r="Q534" i="1"/>
  <c r="P564" i="1"/>
  <c r="R437" i="1"/>
  <c r="P440" i="1"/>
  <c r="R458" i="1"/>
  <c r="R460" i="1"/>
  <c r="P488" i="1"/>
  <c r="R511" i="1"/>
  <c r="R535" i="1"/>
  <c r="R540" i="1"/>
  <c r="Q522" i="1"/>
  <c r="R516" i="1"/>
  <c r="Q564" i="1"/>
  <c r="Q288" i="1"/>
  <c r="Q284" i="1"/>
  <c r="R308" i="1"/>
  <c r="Q368" i="1"/>
  <c r="Q371" i="1"/>
  <c r="Q385" i="1"/>
  <c r="Q352" i="1"/>
  <c r="P379" i="1"/>
  <c r="P426" i="1"/>
  <c r="P392" i="1"/>
  <c r="Q446" i="1"/>
  <c r="P391" i="1"/>
  <c r="Q465" i="1"/>
  <c r="P445" i="1"/>
  <c r="Q457" i="1"/>
  <c r="P493" i="1"/>
  <c r="P489" i="1"/>
  <c r="Q488" i="1"/>
  <c r="R548" i="1"/>
  <c r="Q560" i="1"/>
  <c r="Q300" i="1"/>
  <c r="Q337" i="1"/>
  <c r="Q353" i="1"/>
  <c r="P347" i="1"/>
  <c r="Q378" i="1"/>
  <c r="Q384" i="1"/>
  <c r="Q397" i="1"/>
  <c r="R434" i="1"/>
  <c r="P472" i="1"/>
  <c r="R442" i="1"/>
  <c r="P514" i="1"/>
  <c r="P383" i="1"/>
  <c r="P533" i="1"/>
  <c r="R507" i="1"/>
  <c r="R467" i="1"/>
  <c r="R518" i="1"/>
  <c r="R394" i="1"/>
  <c r="Q447" i="1"/>
  <c r="Q472" i="1"/>
  <c r="P464" i="1"/>
  <c r="R512" i="1"/>
  <c r="Q383" i="1"/>
  <c r="P544" i="1"/>
  <c r="R422" i="1"/>
  <c r="P417" i="1"/>
  <c r="P408" i="1"/>
  <c r="R435" i="1"/>
  <c r="Q462" i="1"/>
  <c r="R472" i="1"/>
  <c r="R477" i="1"/>
  <c r="P485" i="1"/>
  <c r="Q464" i="1"/>
  <c r="P492" i="1"/>
  <c r="P491" i="1"/>
  <c r="P506" i="1"/>
  <c r="Q517" i="1"/>
  <c r="R515" i="1"/>
  <c r="P543" i="1"/>
  <c r="Q550" i="1"/>
  <c r="Q416" i="1"/>
  <c r="R433" i="1"/>
  <c r="R440" i="1"/>
  <c r="R462" i="1"/>
  <c r="Q463" i="1"/>
  <c r="Q485" i="1"/>
  <c r="R483" i="1"/>
  <c r="R487" i="1"/>
  <c r="Q492" i="1"/>
  <c r="Q506" i="1"/>
  <c r="P524" i="1"/>
  <c r="Q543" i="1"/>
  <c r="P521" i="1"/>
  <c r="R504" i="1"/>
  <c r="P561" i="1"/>
  <c r="P407" i="1"/>
  <c r="R408" i="1"/>
  <c r="P395" i="1"/>
  <c r="P468" i="1"/>
  <c r="Q521" i="1"/>
  <c r="R542" i="1"/>
  <c r="P509" i="1"/>
  <c r="Q561" i="1"/>
  <c r="P536" i="1"/>
  <c r="P530" i="1"/>
  <c r="Q509" i="1"/>
  <c r="P557" i="1"/>
  <c r="Q322" i="1"/>
  <c r="Q345" i="1"/>
  <c r="Q366" i="1"/>
  <c r="Q393" i="1"/>
  <c r="R407" i="1"/>
  <c r="R447" i="1"/>
  <c r="P465" i="1"/>
  <c r="Q444" i="1"/>
  <c r="P496" i="1"/>
  <c r="Q536" i="1"/>
  <c r="Q557" i="1"/>
  <c r="R539" i="1"/>
  <c r="Q344" i="1"/>
  <c r="Q365" i="1"/>
  <c r="Q386" i="1"/>
  <c r="Q402" i="1"/>
  <c r="Q411" i="1"/>
  <c r="R412" i="1"/>
  <c r="R432" i="1"/>
  <c r="Q451" i="1"/>
  <c r="P455" i="1"/>
  <c r="Q458" i="1"/>
  <c r="R445" i="1"/>
  <c r="Q482" i="1"/>
  <c r="R493" i="1"/>
  <c r="Q498" i="1"/>
  <c r="R508" i="1"/>
  <c r="Q533" i="1"/>
  <c r="R527" i="1"/>
  <c r="P546" i="1"/>
  <c r="Q555" i="1"/>
  <c r="P520" i="1"/>
  <c r="P547" i="1"/>
  <c r="Q546" i="1"/>
  <c r="P553" i="1"/>
  <c r="R559" i="1"/>
  <c r="R391" i="1"/>
  <c r="Q419" i="1"/>
  <c r="R465" i="1"/>
  <c r="P471" i="1"/>
  <c r="R482" i="1"/>
  <c r="Q474" i="1"/>
  <c r="P502" i="1"/>
  <c r="Q471" i="1"/>
  <c r="P478" i="1"/>
  <c r="R491" i="1"/>
  <c r="Q502" i="1"/>
  <c r="R503" i="1"/>
  <c r="R514" i="1"/>
  <c r="R524" i="1"/>
  <c r="R538" i="1"/>
  <c r="R547" i="1"/>
  <c r="R530" i="1"/>
  <c r="R552" i="1"/>
  <c r="R556" i="1"/>
  <c r="R562" i="1"/>
  <c r="R416" i="1"/>
  <c r="R451" i="1"/>
  <c r="Q395" i="1"/>
  <c r="R456" i="1"/>
  <c r="R473" i="1"/>
  <c r="Q478" i="1"/>
  <c r="P481" i="1"/>
  <c r="P505" i="1"/>
  <c r="P519" i="1"/>
  <c r="P523" i="1"/>
  <c r="P510" i="1"/>
  <c r="P551" i="1"/>
  <c r="P545" i="1"/>
  <c r="P537" i="1"/>
  <c r="P558" i="1"/>
  <c r="P554" i="1"/>
  <c r="Q505" i="1"/>
  <c r="Q519" i="1"/>
  <c r="Q523" i="1"/>
  <c r="Q510" i="1"/>
  <c r="Q551" i="1"/>
  <c r="Q545" i="1"/>
  <c r="Q537" i="1"/>
  <c r="Q558" i="1"/>
  <c r="Q554" i="1"/>
  <c r="R372" i="1"/>
  <c r="R446" i="1"/>
  <c r="Q450" i="1"/>
  <c r="R459" i="1"/>
  <c r="Q468" i="1"/>
  <c r="P476" i="1"/>
  <c r="R490" i="1"/>
  <c r="Q495" i="1"/>
  <c r="R404" i="1"/>
  <c r="Q443" i="1"/>
  <c r="R401" i="1"/>
  <c r="Q410" i="1"/>
  <c r="R475" i="1"/>
  <c r="Q479" i="1"/>
  <c r="P457" i="1"/>
  <c r="R484" i="1"/>
  <c r="R488" i="1"/>
  <c r="R499" i="1"/>
  <c r="R526" i="1"/>
  <c r="R534" i="1"/>
  <c r="R532" i="1"/>
  <c r="R522" i="1"/>
  <c r="R549" i="1"/>
  <c r="R560" i="1"/>
  <c r="R564" i="1"/>
  <c r="R2" i="1"/>
  <c r="Q2" i="1"/>
  <c r="P2" i="1"/>
  <c r="S140" i="1" l="1"/>
  <c r="S101" i="1"/>
  <c r="S93" i="1"/>
  <c r="S99" i="1"/>
  <c r="S320" i="1"/>
  <c r="S392" i="1"/>
  <c r="S188" i="1"/>
  <c r="S321" i="1"/>
  <c r="S98" i="1"/>
  <c r="S224" i="1"/>
  <c r="S153" i="1"/>
  <c r="S112" i="1"/>
  <c r="S277" i="1"/>
  <c r="S275" i="1"/>
  <c r="S180" i="1"/>
  <c r="S154" i="1"/>
  <c r="S210" i="1"/>
  <c r="S117" i="1"/>
  <c r="S301" i="1"/>
  <c r="S206" i="1"/>
  <c r="S304" i="1"/>
  <c r="S129" i="1"/>
  <c r="S116" i="1"/>
  <c r="S428" i="1"/>
  <c r="S89" i="1"/>
  <c r="S238" i="1"/>
  <c r="S492" i="1"/>
  <c r="S364" i="1"/>
  <c r="S250" i="1"/>
  <c r="S431" i="1"/>
  <c r="S19" i="1"/>
  <c r="S106" i="1"/>
  <c r="S455" i="1"/>
  <c r="S259" i="1"/>
  <c r="S379" i="1"/>
  <c r="S232" i="1"/>
  <c r="S425" i="1"/>
  <c r="S247" i="1"/>
  <c r="S377" i="1"/>
  <c r="S480" i="1"/>
  <c r="S472" i="1"/>
  <c r="S294" i="1"/>
  <c r="S213" i="1"/>
  <c r="S91" i="1"/>
  <c r="S87" i="1"/>
  <c r="S395" i="1"/>
  <c r="S159" i="1"/>
  <c r="S254" i="1"/>
  <c r="S543" i="1"/>
  <c r="S84" i="1"/>
  <c r="S314" i="1"/>
  <c r="S390" i="1"/>
  <c r="S15" i="1"/>
  <c r="S69" i="1"/>
  <c r="S341" i="1"/>
  <c r="S92" i="1"/>
  <c r="S9" i="1"/>
  <c r="S477" i="1"/>
  <c r="S73" i="1"/>
  <c r="S158" i="1"/>
  <c r="S510" i="1"/>
  <c r="S523" i="1"/>
  <c r="S464" i="1"/>
  <c r="S356" i="1"/>
  <c r="S336" i="1"/>
  <c r="S13" i="1"/>
  <c r="S496" i="1"/>
  <c r="S279" i="1"/>
  <c r="S554" i="1"/>
  <c r="S471" i="1"/>
  <c r="S408" i="1"/>
  <c r="S201" i="1"/>
  <c r="S417" i="1"/>
  <c r="S272" i="1"/>
  <c r="S94" i="1"/>
  <c r="S558" i="1"/>
  <c r="S373" i="1"/>
  <c r="S258" i="1"/>
  <c r="S376" i="1"/>
  <c r="S347" i="1"/>
  <c r="S208" i="1"/>
  <c r="S157" i="1"/>
  <c r="S420" i="1"/>
  <c r="S342" i="1"/>
  <c r="S115" i="1"/>
  <c r="S125" i="1"/>
  <c r="S191" i="1"/>
  <c r="S108" i="1"/>
  <c r="S217" i="1"/>
  <c r="S481" i="1"/>
  <c r="S564" i="1"/>
  <c r="S432" i="1"/>
  <c r="S433" i="1"/>
  <c r="S234" i="1"/>
  <c r="S339" i="1"/>
  <c r="S366" i="1"/>
  <c r="S549" i="1"/>
  <c r="S403" i="1"/>
  <c r="S409" i="1"/>
  <c r="S466" i="1"/>
  <c r="S375" i="1"/>
  <c r="S529" i="1"/>
  <c r="S404" i="1"/>
  <c r="S192" i="1"/>
  <c r="S330" i="1"/>
  <c r="S195" i="1"/>
  <c r="S110" i="1"/>
  <c r="S343" i="1"/>
  <c r="S559" i="1"/>
  <c r="S255" i="1"/>
  <c r="S164" i="1"/>
  <c r="S179" i="1"/>
  <c r="S297" i="1"/>
  <c r="S90" i="1"/>
  <c r="S197" i="1"/>
  <c r="S147" i="1"/>
  <c r="S212" i="1"/>
  <c r="S46" i="1"/>
  <c r="S123" i="1"/>
  <c r="S100" i="1"/>
  <c r="S43" i="1"/>
  <c r="S5" i="1"/>
  <c r="S561" i="1"/>
  <c r="S553" i="1"/>
  <c r="S79" i="1"/>
  <c r="S248" i="1"/>
  <c r="S257" i="1"/>
  <c r="S457" i="1"/>
  <c r="S520" i="1"/>
  <c r="S406" i="1"/>
  <c r="S146" i="1"/>
  <c r="S81" i="1"/>
  <c r="S202" i="1"/>
  <c r="S426" i="1"/>
  <c r="S521" i="1"/>
  <c r="S505" i="1"/>
  <c r="S557" i="1"/>
  <c r="S355" i="1"/>
  <c r="S306" i="1"/>
  <c r="S214" i="1"/>
  <c r="S173" i="1"/>
  <c r="S476" i="1"/>
  <c r="S501" i="1"/>
  <c r="S165" i="1"/>
  <c r="S174" i="1"/>
  <c r="S151" i="1"/>
  <c r="S544" i="1"/>
  <c r="S551" i="1"/>
  <c r="S128" i="1"/>
  <c r="S489" i="1"/>
  <c r="S453" i="1"/>
  <c r="S132" i="1"/>
  <c r="S83" i="1"/>
  <c r="S361" i="1"/>
  <c r="S449" i="1"/>
  <c r="S370" i="1"/>
  <c r="S282" i="1"/>
  <c r="S427" i="1"/>
  <c r="S354" i="1"/>
  <c r="S312" i="1"/>
  <c r="S367" i="1"/>
  <c r="S193" i="1"/>
  <c r="S196" i="1"/>
  <c r="S178" i="1"/>
  <c r="S80" i="1"/>
  <c r="S546" i="1"/>
  <c r="S530" i="1"/>
  <c r="S416" i="1"/>
  <c r="S324" i="1"/>
  <c r="S401" i="1"/>
  <c r="S513" i="1"/>
  <c r="S353" i="1"/>
  <c r="S299" i="1"/>
  <c r="S348" i="1"/>
  <c r="S556" i="1"/>
  <c r="S190" i="1"/>
  <c r="S378" i="1"/>
  <c r="S447" i="1"/>
  <c r="S302" i="1"/>
  <c r="S198" i="1"/>
  <c r="S102" i="1"/>
  <c r="S351" i="1"/>
  <c r="S243" i="1"/>
  <c r="S278" i="1"/>
  <c r="S337" i="1"/>
  <c r="S338" i="1"/>
  <c r="S293" i="1"/>
  <c r="S149" i="1"/>
  <c r="S36" i="1"/>
  <c r="S72" i="1"/>
  <c r="S40" i="1"/>
  <c r="S4" i="1"/>
  <c r="S478" i="1"/>
  <c r="S536" i="1"/>
  <c r="S485" i="1"/>
  <c r="S360" i="1"/>
  <c r="S359" i="1"/>
  <c r="S456" i="1"/>
  <c r="S335" i="1"/>
  <c r="S307" i="1"/>
  <c r="S531" i="1"/>
  <c r="S280" i="1"/>
  <c r="S508" i="1"/>
  <c r="S296" i="1"/>
  <c r="S230" i="1"/>
  <c r="S104" i="1"/>
  <c r="S363" i="1"/>
  <c r="S394" i="1"/>
  <c r="S251" i="1"/>
  <c r="S252" i="1"/>
  <c r="S142" i="1"/>
  <c r="S88" i="1"/>
  <c r="S42" i="1"/>
  <c r="S122" i="1"/>
  <c r="S85" i="1"/>
  <c r="S105" i="1"/>
  <c r="S86" i="1"/>
  <c r="S37" i="1"/>
  <c r="S6" i="1"/>
  <c r="S111" i="1"/>
  <c r="S459" i="1"/>
  <c r="S393" i="1"/>
  <c r="S467" i="1"/>
  <c r="S381" i="1"/>
  <c r="S507" i="1"/>
  <c r="S475" i="1"/>
  <c r="S396" i="1"/>
  <c r="S495" i="1"/>
  <c r="S267" i="1"/>
  <c r="S141" i="1"/>
  <c r="S236" i="1"/>
  <c r="S415" i="1"/>
  <c r="S222" i="1"/>
  <c r="S436" i="1"/>
  <c r="S264" i="1"/>
  <c r="S124" i="1"/>
  <c r="S44" i="1"/>
  <c r="S162" i="1"/>
  <c r="S78" i="1"/>
  <c r="S298" i="1"/>
  <c r="S82" i="1"/>
  <c r="S290" i="1"/>
  <c r="S34" i="1"/>
  <c r="S55" i="1"/>
  <c r="S502" i="1"/>
  <c r="S509" i="1"/>
  <c r="S533" i="1"/>
  <c r="S490" i="1"/>
  <c r="S539" i="1"/>
  <c r="S388" i="1"/>
  <c r="S345" i="1"/>
  <c r="S552" i="1"/>
  <c r="S283" i="1"/>
  <c r="S144" i="1"/>
  <c r="S223" i="1"/>
  <c r="S442" i="1"/>
  <c r="S172" i="1"/>
  <c r="S262" i="1"/>
  <c r="S114" i="1"/>
  <c r="S152" i="1"/>
  <c r="S249" i="1"/>
  <c r="S166" i="1"/>
  <c r="S199" i="1"/>
  <c r="S175" i="1"/>
  <c r="S77" i="1"/>
  <c r="S107" i="1"/>
  <c r="S35" i="1"/>
  <c r="S71" i="1"/>
  <c r="S57" i="1"/>
  <c r="S31" i="1"/>
  <c r="S383" i="1"/>
  <c r="S493" i="1"/>
  <c r="S562" i="1"/>
  <c r="S323" i="1"/>
  <c r="S460" i="1"/>
  <c r="S413" i="1"/>
  <c r="S503" i="1"/>
  <c r="S550" i="1"/>
  <c r="S444" i="1"/>
  <c r="S532" i="1"/>
  <c r="S437" i="1"/>
  <c r="S332" i="1"/>
  <c r="S422" i="1"/>
  <c r="S167" i="1"/>
  <c r="S276" i="1"/>
  <c r="S109" i="1"/>
  <c r="S181" i="1"/>
  <c r="S374" i="1"/>
  <c r="S221" i="1"/>
  <c r="S498" i="1"/>
  <c r="S207" i="1"/>
  <c r="S33" i="1"/>
  <c r="S469" i="1"/>
  <c r="S65" i="1"/>
  <c r="S26" i="1"/>
  <c r="S20" i="1"/>
  <c r="S514" i="1"/>
  <c r="S357" i="1"/>
  <c r="S511" i="1"/>
  <c r="S535" i="1"/>
  <c r="S482" i="1"/>
  <c r="S515" i="1"/>
  <c r="S305" i="1"/>
  <c r="S421" i="1"/>
  <c r="S239" i="1"/>
  <c r="S410" i="1"/>
  <c r="S168" i="1"/>
  <c r="S443" i="1"/>
  <c r="S538" i="1"/>
  <c r="S215" i="1"/>
  <c r="S269" i="1"/>
  <c r="S325" i="1"/>
  <c r="S205" i="1"/>
  <c r="S237" i="1"/>
  <c r="S32" i="1"/>
  <c r="S231" i="1"/>
  <c r="S203" i="1"/>
  <c r="S66" i="1"/>
  <c r="S58" i="1"/>
  <c r="S29" i="1"/>
  <c r="S11" i="1"/>
  <c r="S468" i="1"/>
  <c r="S445" i="1"/>
  <c r="S382" i="1"/>
  <c r="S358" i="1"/>
  <c r="S540" i="1"/>
  <c r="S397" i="1"/>
  <c r="S414" i="1"/>
  <c r="S461" i="1"/>
  <c r="S317" i="1"/>
  <c r="S322" i="1"/>
  <c r="S161" i="1"/>
  <c r="S446" i="1"/>
  <c r="S295" i="1"/>
  <c r="S204" i="1"/>
  <c r="S400" i="1"/>
  <c r="S226" i="1"/>
  <c r="S512" i="1"/>
  <c r="S184" i="1"/>
  <c r="S399" i="1"/>
  <c r="S148" i="1"/>
  <c r="S209" i="1"/>
  <c r="S268" i="1"/>
  <c r="S27" i="1"/>
  <c r="S528" i="1"/>
  <c r="S75" i="1"/>
  <c r="S113" i="1"/>
  <c r="S64" i="1"/>
  <c r="S30" i="1"/>
  <c r="S218" i="1"/>
  <c r="S56" i="1"/>
  <c r="S21" i="1"/>
  <c r="S200" i="1"/>
  <c r="S516" i="1"/>
  <c r="S462" i="1"/>
  <c r="S473" i="1"/>
  <c r="S463" i="1"/>
  <c r="S281" i="1"/>
  <c r="S350" i="1"/>
  <c r="S145" i="1"/>
  <c r="S412" i="1"/>
  <c r="S405" i="1"/>
  <c r="S256" i="1"/>
  <c r="S119" i="1"/>
  <c r="S241" i="1"/>
  <c r="S185" i="1"/>
  <c r="S63" i="1"/>
  <c r="S216" i="1"/>
  <c r="S76" i="1"/>
  <c r="S483" i="1"/>
  <c r="S70" i="1"/>
  <c r="S28" i="1"/>
  <c r="S316" i="1"/>
  <c r="S67" i="1"/>
  <c r="S23" i="1"/>
  <c r="S25" i="1"/>
  <c r="S465" i="1"/>
  <c r="S537" i="1"/>
  <c r="S391" i="1"/>
  <c r="S526" i="1"/>
  <c r="S517" i="1"/>
  <c r="S499" i="1"/>
  <c r="S387" i="1"/>
  <c r="S286" i="1"/>
  <c r="S487" i="1"/>
  <c r="S548" i="1"/>
  <c r="S138" i="1"/>
  <c r="S479" i="1"/>
  <c r="S319" i="1"/>
  <c r="S169" i="1"/>
  <c r="S285" i="1"/>
  <c r="S95" i="1"/>
  <c r="S263" i="1"/>
  <c r="S211" i="1"/>
  <c r="S131" i="1"/>
  <c r="S14" i="1"/>
  <c r="S59" i="1"/>
  <c r="S17" i="1"/>
  <c r="S97" i="1"/>
  <c r="S187" i="1"/>
  <c r="S48" i="1"/>
  <c r="S22" i="1"/>
  <c r="S8" i="1"/>
  <c r="S407" i="1"/>
  <c r="S500" i="1"/>
  <c r="S438" i="1"/>
  <c r="S504" i="1"/>
  <c r="S518" i="1"/>
  <c r="S284" i="1"/>
  <c r="S454" i="1"/>
  <c r="S560" i="1"/>
  <c r="S244" i="1"/>
  <c r="S419" i="1"/>
  <c r="S313" i="1"/>
  <c r="S186" i="1"/>
  <c r="S229" i="1"/>
  <c r="S274" i="1"/>
  <c r="S362" i="1"/>
  <c r="S253" i="1"/>
  <c r="S233" i="1"/>
  <c r="S182" i="1"/>
  <c r="S418" i="1"/>
  <c r="S51" i="1"/>
  <c r="S16" i="1"/>
  <c r="S470" i="1"/>
  <c r="S171" i="1"/>
  <c r="S41" i="1"/>
  <c r="S18" i="1"/>
  <c r="S10" i="1"/>
  <c r="S488" i="1"/>
  <c r="S434" i="1"/>
  <c r="S365" i="1"/>
  <c r="S534" i="1"/>
  <c r="S555" i="1"/>
  <c r="S411" i="1"/>
  <c r="S430" i="1"/>
  <c r="S424" i="1"/>
  <c r="S273" i="1"/>
  <c r="S328" i="1"/>
  <c r="S219" i="1"/>
  <c r="S287" i="1"/>
  <c r="S309" i="1"/>
  <c r="S260" i="1"/>
  <c r="S315" i="1"/>
  <c r="S245" i="1"/>
  <c r="S163" i="1"/>
  <c r="S183" i="1"/>
  <c r="S525" i="1"/>
  <c r="S340" i="1"/>
  <c r="S52" i="1"/>
  <c r="S3" i="1"/>
  <c r="S177" i="1"/>
  <c r="S170" i="1"/>
  <c r="S49" i="1"/>
  <c r="S24" i="1"/>
  <c r="S474" i="1"/>
  <c r="S386" i="1"/>
  <c r="S542" i="1"/>
  <c r="S541" i="1"/>
  <c r="S225" i="1"/>
  <c r="S246" i="1"/>
  <c r="S326" i="1"/>
  <c r="S327" i="1"/>
  <c r="S344" i="1"/>
  <c r="S240" i="1"/>
  <c r="S494" i="1"/>
  <c r="S261" i="1"/>
  <c r="S160" i="1"/>
  <c r="S292" i="1"/>
  <c r="S271" i="1"/>
  <c r="S39" i="1"/>
  <c r="S127" i="1"/>
  <c r="S60" i="1"/>
  <c r="S385" i="1"/>
  <c r="S346" i="1"/>
  <c r="S402" i="1"/>
  <c r="S435" i="1"/>
  <c r="S527" i="1"/>
  <c r="S334" i="1"/>
  <c r="S242" i="1"/>
  <c r="S423" i="1"/>
  <c r="S126" i="1"/>
  <c r="S522" i="1"/>
  <c r="S329" i="1"/>
  <c r="S497" i="1"/>
  <c r="S333" i="1"/>
  <c r="S194" i="1"/>
  <c r="S270" i="1"/>
  <c r="S143" i="1"/>
  <c r="S54" i="1"/>
  <c r="S318" i="1"/>
  <c r="S137" i="1"/>
  <c r="S189" i="1"/>
  <c r="S61" i="1"/>
  <c r="S176" i="1"/>
  <c r="S130" i="1"/>
  <c r="S47" i="1"/>
  <c r="S136" i="1"/>
  <c r="S519" i="1"/>
  <c r="S547" i="1"/>
  <c r="S506" i="1"/>
  <c r="S440" i="1"/>
  <c r="S458" i="1"/>
  <c r="S448" i="1"/>
  <c r="S389" i="1"/>
  <c r="S450" i="1"/>
  <c r="S429" i="1"/>
  <c r="S368" i="1"/>
  <c r="S439" i="1"/>
  <c r="S228" i="1"/>
  <c r="S308" i="1"/>
  <c r="S380" i="1"/>
  <c r="S486" i="1"/>
  <c r="S372" i="1"/>
  <c r="S311" i="1"/>
  <c r="S135" i="1"/>
  <c r="S369" i="1"/>
  <c r="S120" i="1"/>
  <c r="S96" i="1"/>
  <c r="S398" i="1"/>
  <c r="S288" i="1"/>
  <c r="S331" i="1"/>
  <c r="S227" i="1"/>
  <c r="S133" i="1"/>
  <c r="S349" i="1"/>
  <c r="S74" i="1"/>
  <c r="S53" i="1"/>
  <c r="S62" i="1"/>
  <c r="S118" i="1"/>
  <c r="S139" i="1"/>
  <c r="S45" i="1"/>
  <c r="S12" i="1"/>
  <c r="S545" i="1"/>
  <c r="S524" i="1"/>
  <c r="S491" i="1"/>
  <c r="S371" i="1"/>
  <c r="S310" i="1"/>
  <c r="S452" i="1"/>
  <c r="S451" i="1"/>
  <c r="S384" i="1"/>
  <c r="S352" i="1"/>
  <c r="S441" i="1"/>
  <c r="S563" i="1"/>
  <c r="S300" i="1"/>
  <c r="S220" i="1"/>
  <c r="S291" i="1"/>
  <c r="S266" i="1"/>
  <c r="S150" i="1"/>
  <c r="S103" i="1"/>
  <c r="S303" i="1"/>
  <c r="S484" i="1"/>
  <c r="S265" i="1"/>
  <c r="S156" i="1"/>
  <c r="S289" i="1"/>
  <c r="S155" i="1"/>
  <c r="S235" i="1"/>
  <c r="S50" i="1"/>
  <c r="S121" i="1"/>
  <c r="S38" i="1"/>
  <c r="S7" i="1"/>
  <c r="S134" i="1"/>
  <c r="S2" i="1"/>
  <c r="T553" i="1" l="1"/>
  <c r="T398" i="1"/>
  <c r="T91" i="1"/>
  <c r="T100" i="1"/>
  <c r="T522" i="1"/>
  <c r="T46" i="1"/>
  <c r="T300" i="1"/>
  <c r="T38" i="1"/>
  <c r="T272" i="1"/>
  <c r="T450" i="1"/>
  <c r="T210" i="1"/>
  <c r="T476" i="1"/>
  <c r="T148" i="1"/>
  <c r="T397" i="1"/>
  <c r="T231" i="1"/>
  <c r="T305" i="1"/>
  <c r="T178" i="1"/>
  <c r="T367" i="1"/>
  <c r="T31" i="1"/>
  <c r="T442" i="1"/>
  <c r="T502" i="1"/>
  <c r="T436" i="1"/>
  <c r="T393" i="1"/>
  <c r="T252" i="1"/>
  <c r="T456" i="1"/>
  <c r="T293" i="1"/>
  <c r="T406" i="1"/>
  <c r="T121" i="1"/>
  <c r="T563" i="1"/>
  <c r="T545" i="1"/>
  <c r="T304" i="1"/>
  <c r="T389" i="1"/>
  <c r="T61" i="1"/>
  <c r="T126" i="1"/>
  <c r="T347" i="1"/>
  <c r="T292" i="1"/>
  <c r="T225" i="1"/>
  <c r="T177" i="1"/>
  <c r="T219" i="1"/>
  <c r="T561" i="1"/>
  <c r="T362" i="1"/>
  <c r="T254" i="1"/>
  <c r="T211" i="1"/>
  <c r="T70" i="1"/>
  <c r="T145" i="1"/>
  <c r="T200" i="1"/>
  <c r="T399" i="1"/>
  <c r="T540" i="1"/>
  <c r="T32" i="1"/>
  <c r="T279" i="1"/>
  <c r="T207" i="1"/>
  <c r="T312" i="1"/>
  <c r="T57" i="1"/>
  <c r="T223" i="1"/>
  <c r="T212" i="1"/>
  <c r="T174" i="1"/>
  <c r="T459" i="1"/>
  <c r="T251" i="1"/>
  <c r="T359" i="1"/>
  <c r="T338" i="1"/>
  <c r="T353" i="1"/>
  <c r="T390" i="1"/>
  <c r="T441" i="1"/>
  <c r="T513" i="1"/>
  <c r="T458" i="1"/>
  <c r="T52" i="1"/>
  <c r="T544" i="1"/>
  <c r="T480" i="1"/>
  <c r="T301" i="1"/>
  <c r="T482" i="1"/>
  <c r="T35" i="1"/>
  <c r="T282" i="1"/>
  <c r="T404" i="1"/>
  <c r="T415" i="1"/>
  <c r="T43" i="1"/>
  <c r="T173" i="1"/>
  <c r="T401" i="1"/>
  <c r="T155" i="1"/>
  <c r="T384" i="1"/>
  <c r="T45" i="1"/>
  <c r="T369" i="1"/>
  <c r="T440" i="1"/>
  <c r="T318" i="1"/>
  <c r="T242" i="1"/>
  <c r="T510" i="1"/>
  <c r="T108" i="1"/>
  <c r="T541" i="1"/>
  <c r="T340" i="1"/>
  <c r="T424" i="1"/>
  <c r="T549" i="1"/>
  <c r="T186" i="1"/>
  <c r="T407" i="1"/>
  <c r="T213" i="1"/>
  <c r="T526" i="1"/>
  <c r="T76" i="1"/>
  <c r="T281" i="1"/>
  <c r="T21" i="1"/>
  <c r="T512" i="1"/>
  <c r="T382" i="1"/>
  <c r="T116" i="1"/>
  <c r="T428" i="1"/>
  <c r="T221" i="1"/>
  <c r="T354" i="1"/>
  <c r="T107" i="1"/>
  <c r="T453" i="1"/>
  <c r="T425" i="1"/>
  <c r="T98" i="1"/>
  <c r="T255" i="1"/>
  <c r="T214" i="1"/>
  <c r="T485" i="1"/>
  <c r="T278" i="1"/>
  <c r="T324" i="1"/>
  <c r="T379" i="1"/>
  <c r="T160" i="1"/>
  <c r="T394" i="1"/>
  <c r="T352" i="1"/>
  <c r="T68" i="1"/>
  <c r="T179" i="1"/>
  <c r="T366" i="1"/>
  <c r="T360" i="1"/>
  <c r="T451" i="1"/>
  <c r="T135" i="1"/>
  <c r="T54" i="1"/>
  <c r="T334" i="1"/>
  <c r="T195" i="1"/>
  <c r="T494" i="1"/>
  <c r="T542" i="1"/>
  <c r="T525" i="1"/>
  <c r="T430" i="1"/>
  <c r="T10" i="1"/>
  <c r="T92" i="1"/>
  <c r="T455" i="1"/>
  <c r="T154" i="1"/>
  <c r="T391" i="1"/>
  <c r="T216" i="1"/>
  <c r="T275" i="1"/>
  <c r="T56" i="1"/>
  <c r="T226" i="1"/>
  <c r="T445" i="1"/>
  <c r="T325" i="1"/>
  <c r="T535" i="1"/>
  <c r="T374" i="1"/>
  <c r="T413" i="1"/>
  <c r="T77" i="1"/>
  <c r="T370" i="1"/>
  <c r="T55" i="1"/>
  <c r="T236" i="1"/>
  <c r="T375" i="1"/>
  <c r="T363" i="1"/>
  <c r="T536" i="1"/>
  <c r="T243" i="1"/>
  <c r="T416" i="1"/>
  <c r="T170" i="1"/>
  <c r="T448" i="1"/>
  <c r="T500" i="1"/>
  <c r="T222" i="1"/>
  <c r="T261" i="1"/>
  <c r="T263" i="1"/>
  <c r="T112" i="1"/>
  <c r="T337" i="1"/>
  <c r="T289" i="1"/>
  <c r="T139" i="1"/>
  <c r="T506" i="1"/>
  <c r="T156" i="1"/>
  <c r="T452" i="1"/>
  <c r="T118" i="1"/>
  <c r="T311" i="1"/>
  <c r="T547" i="1"/>
  <c r="T143" i="1"/>
  <c r="T527" i="1"/>
  <c r="T529" i="1"/>
  <c r="T320" i="1"/>
  <c r="T376" i="1"/>
  <c r="T73" i="1"/>
  <c r="T411" i="1"/>
  <c r="T18" i="1"/>
  <c r="T313" i="1"/>
  <c r="T466" i="1"/>
  <c r="T95" i="1"/>
  <c r="T537" i="1"/>
  <c r="T63" i="1"/>
  <c r="T250" i="1"/>
  <c r="T218" i="1"/>
  <c r="T201" i="1"/>
  <c r="T408" i="1"/>
  <c r="T159" i="1"/>
  <c r="T511" i="1"/>
  <c r="T181" i="1"/>
  <c r="T427" i="1"/>
  <c r="T175" i="1"/>
  <c r="T283" i="1"/>
  <c r="T34" i="1"/>
  <c r="T141" i="1"/>
  <c r="T111" i="1"/>
  <c r="T104" i="1"/>
  <c r="T478" i="1"/>
  <c r="T351" i="1"/>
  <c r="T530" i="1"/>
  <c r="T28" i="1"/>
  <c r="T328" i="1"/>
  <c r="T146" i="1"/>
  <c r="T120" i="1"/>
  <c r="T420" i="1"/>
  <c r="T19" i="1"/>
  <c r="T125" i="1"/>
  <c r="T240" i="1"/>
  <c r="T465" i="1"/>
  <c r="T117" i="1"/>
  <c r="T460" i="1"/>
  <c r="T199" i="1"/>
  <c r="T552" i="1"/>
  <c r="T267" i="1"/>
  <c r="T230" i="1"/>
  <c r="T102" i="1"/>
  <c r="T546" i="1"/>
  <c r="T287" i="1"/>
  <c r="T96" i="1"/>
  <c r="T483" i="1"/>
  <c r="T355" i="1"/>
  <c r="T137" i="1"/>
  <c r="T229" i="1"/>
  <c r="T205" i="1"/>
  <c r="T310" i="1"/>
  <c r="T519" i="1"/>
  <c r="T564" i="1"/>
  <c r="T555" i="1"/>
  <c r="T285" i="1"/>
  <c r="T30" i="1"/>
  <c r="T357" i="1"/>
  <c r="T5" i="1"/>
  <c r="T265" i="1"/>
  <c r="T371" i="1"/>
  <c r="T53" i="1"/>
  <c r="T208" i="1"/>
  <c r="T521" i="1"/>
  <c r="T69" i="1"/>
  <c r="T342" i="1"/>
  <c r="T15" i="1"/>
  <c r="T99" i="1"/>
  <c r="T238" i="1"/>
  <c r="T163" i="1"/>
  <c r="T534" i="1"/>
  <c r="T171" i="1"/>
  <c r="T244" i="1"/>
  <c r="T22" i="1"/>
  <c r="T169" i="1"/>
  <c r="T558" i="1"/>
  <c r="T431" i="1"/>
  <c r="T473" i="1"/>
  <c r="T64" i="1"/>
  <c r="T204" i="1"/>
  <c r="T471" i="1"/>
  <c r="T269" i="1"/>
  <c r="T514" i="1"/>
  <c r="T276" i="1"/>
  <c r="T323" i="1"/>
  <c r="T153" i="1"/>
  <c r="T345" i="1"/>
  <c r="T82" i="1"/>
  <c r="T495" i="1"/>
  <c r="T37" i="1"/>
  <c r="T296" i="1"/>
  <c r="T147" i="1"/>
  <c r="T198" i="1"/>
  <c r="T123" i="1"/>
  <c r="T253" i="1"/>
  <c r="T423" i="1"/>
  <c r="T350" i="1"/>
  <c r="T361" i="1"/>
  <c r="T12" i="1"/>
  <c r="T273" i="1"/>
  <c r="T498" i="1"/>
  <c r="T62" i="1"/>
  <c r="T270" i="1"/>
  <c r="T386" i="1"/>
  <c r="T41" i="1"/>
  <c r="T419" i="1"/>
  <c r="T185" i="1"/>
  <c r="T468" i="1"/>
  <c r="T290" i="1"/>
  <c r="T484" i="1"/>
  <c r="T74" i="1"/>
  <c r="T559" i="1"/>
  <c r="T402" i="1"/>
  <c r="T60" i="1"/>
  <c r="T501" i="1"/>
  <c r="T245" i="1"/>
  <c r="T365" i="1"/>
  <c r="T470" i="1"/>
  <c r="T560" i="1"/>
  <c r="T48" i="1"/>
  <c r="T319" i="1"/>
  <c r="T330" i="1"/>
  <c r="T241" i="1"/>
  <c r="T462" i="1"/>
  <c r="T113" i="1"/>
  <c r="T295" i="1"/>
  <c r="T554" i="1"/>
  <c r="T215" i="1"/>
  <c r="T496" i="1"/>
  <c r="T167" i="1"/>
  <c r="T562" i="1"/>
  <c r="T166" i="1"/>
  <c r="T388" i="1"/>
  <c r="T298" i="1"/>
  <c r="T165" i="1"/>
  <c r="T86" i="1"/>
  <c r="T508" i="1"/>
  <c r="T234" i="1"/>
  <c r="T302" i="1"/>
  <c r="T90" i="1"/>
  <c r="T83" i="1"/>
  <c r="T50" i="1"/>
  <c r="T314" i="1"/>
  <c r="T358" i="1"/>
  <c r="T144" i="1"/>
  <c r="T235" i="1"/>
  <c r="T523" i="1"/>
  <c r="T517" i="1"/>
  <c r="T503" i="1"/>
  <c r="T372" i="1"/>
  <c r="T435" i="1"/>
  <c r="T183" i="1"/>
  <c r="T8" i="1"/>
  <c r="T463" i="1"/>
  <c r="T400" i="1"/>
  <c r="T109" i="1"/>
  <c r="T6" i="1"/>
  <c r="T232" i="1"/>
  <c r="T486" i="1"/>
  <c r="T194" i="1"/>
  <c r="T344" i="1"/>
  <c r="T303" i="1"/>
  <c r="T491" i="1"/>
  <c r="T349" i="1"/>
  <c r="T380" i="1"/>
  <c r="T409" i="1"/>
  <c r="T333" i="1"/>
  <c r="T336" i="1"/>
  <c r="T127" i="1"/>
  <c r="T327" i="1"/>
  <c r="T474" i="1"/>
  <c r="T94" i="1"/>
  <c r="T373" i="1"/>
  <c r="T16" i="1"/>
  <c r="T454" i="1"/>
  <c r="T187" i="1"/>
  <c r="T479" i="1"/>
  <c r="T432" i="1"/>
  <c r="T206" i="1"/>
  <c r="T516" i="1"/>
  <c r="T75" i="1"/>
  <c r="T446" i="1"/>
  <c r="T297" i="1"/>
  <c r="T538" i="1"/>
  <c r="T20" i="1"/>
  <c r="T193" i="1"/>
  <c r="T493" i="1"/>
  <c r="T249" i="1"/>
  <c r="T539" i="1"/>
  <c r="T78" i="1"/>
  <c r="T396" i="1"/>
  <c r="T105" i="1"/>
  <c r="T188" i="1"/>
  <c r="T4" i="1"/>
  <c r="T447" i="1"/>
  <c r="T110" i="1"/>
  <c r="T543" i="1"/>
  <c r="T433" i="1"/>
  <c r="T274" i="1"/>
  <c r="T184" i="1"/>
  <c r="T196" i="1"/>
  <c r="T140" i="1"/>
  <c r="T377" i="1"/>
  <c r="T528" i="1"/>
  <c r="T161" i="1"/>
  <c r="T11" i="1"/>
  <c r="T443" i="1"/>
  <c r="T26" i="1"/>
  <c r="T422" i="1"/>
  <c r="T383" i="1"/>
  <c r="T152" i="1"/>
  <c r="T449" i="1"/>
  <c r="T162" i="1"/>
  <c r="T475" i="1"/>
  <c r="T85" i="1"/>
  <c r="T280" i="1"/>
  <c r="T40" i="1"/>
  <c r="T378" i="1"/>
  <c r="T87" i="1"/>
  <c r="T176" i="1"/>
  <c r="T133" i="1"/>
  <c r="T346" i="1"/>
  <c r="T426" i="1"/>
  <c r="T258" i="1"/>
  <c r="T97" i="1"/>
  <c r="T119" i="1"/>
  <c r="T557" i="1"/>
  <c r="T228" i="1"/>
  <c r="T497" i="1"/>
  <c r="T259" i="1"/>
  <c r="T260" i="1"/>
  <c r="T418" i="1"/>
  <c r="T17" i="1"/>
  <c r="T191" i="1"/>
  <c r="T89" i="1"/>
  <c r="T277" i="1"/>
  <c r="T322" i="1"/>
  <c r="T29" i="1"/>
  <c r="T168" i="1"/>
  <c r="T65" i="1"/>
  <c r="T332" i="1"/>
  <c r="T114" i="1"/>
  <c r="T490" i="1"/>
  <c r="T44" i="1"/>
  <c r="T321" i="1"/>
  <c r="T122" i="1"/>
  <c r="T531" i="1"/>
  <c r="T81" i="1"/>
  <c r="T190" i="1"/>
  <c r="T294" i="1"/>
  <c r="T438" i="1"/>
  <c r="T189" i="1"/>
  <c r="T551" i="1"/>
  <c r="T237" i="1"/>
  <c r="T164" i="1"/>
  <c r="T308" i="1"/>
  <c r="T39" i="1"/>
  <c r="T315" i="1"/>
  <c r="T138" i="1"/>
  <c r="T25" i="1"/>
  <c r="T150" i="1"/>
  <c r="T227" i="1"/>
  <c r="T136" i="1"/>
  <c r="T356" i="1"/>
  <c r="T158" i="1"/>
  <c r="T197" i="1"/>
  <c r="T247" i="1"/>
  <c r="T284" i="1"/>
  <c r="T23" i="1"/>
  <c r="T27" i="1"/>
  <c r="T266" i="1"/>
  <c r="T520" i="1"/>
  <c r="T331" i="1"/>
  <c r="T439" i="1"/>
  <c r="T13" i="1"/>
  <c r="T329" i="1"/>
  <c r="T217" i="1"/>
  <c r="T79" i="1"/>
  <c r="T326" i="1"/>
  <c r="T403" i="1"/>
  <c r="T202" i="1"/>
  <c r="T477" i="1"/>
  <c r="T9" i="1"/>
  <c r="T518" i="1"/>
  <c r="T59" i="1"/>
  <c r="T548" i="1"/>
  <c r="T67" i="1"/>
  <c r="T256" i="1"/>
  <c r="T472" i="1"/>
  <c r="T129" i="1"/>
  <c r="T317" i="1"/>
  <c r="T58" i="1"/>
  <c r="T410" i="1"/>
  <c r="T469" i="1"/>
  <c r="T437" i="1"/>
  <c r="T343" i="1"/>
  <c r="T262" i="1"/>
  <c r="T489" i="1"/>
  <c r="T124" i="1"/>
  <c r="T507" i="1"/>
  <c r="T42" i="1"/>
  <c r="T307" i="1"/>
  <c r="T72" i="1"/>
  <c r="T556" i="1"/>
  <c r="T132" i="1"/>
  <c r="T387" i="1"/>
  <c r="T3" i="1"/>
  <c r="T192" i="1"/>
  <c r="T71" i="1"/>
  <c r="T524" i="1"/>
  <c r="T115" i="1"/>
  <c r="T434" i="1"/>
  <c r="T134" i="1"/>
  <c r="T505" i="1"/>
  <c r="T368" i="1"/>
  <c r="T385" i="1"/>
  <c r="T246" i="1"/>
  <c r="T84" i="1"/>
  <c r="T182" i="1"/>
  <c r="T14" i="1"/>
  <c r="T106" i="1"/>
  <c r="T417" i="1"/>
  <c r="T461" i="1"/>
  <c r="T239" i="1"/>
  <c r="T532" i="1"/>
  <c r="T339" i="1"/>
  <c r="T172" i="1"/>
  <c r="T533" i="1"/>
  <c r="T264" i="1"/>
  <c r="T381" i="1"/>
  <c r="T88" i="1"/>
  <c r="T335" i="1"/>
  <c r="T348" i="1"/>
  <c r="T364" i="1"/>
  <c r="T412" i="1"/>
  <c r="T464" i="1"/>
  <c r="T499" i="1"/>
  <c r="T515" i="1"/>
  <c r="T550" i="1"/>
  <c r="T103" i="1"/>
  <c r="T492" i="1"/>
  <c r="T51" i="1"/>
  <c r="T291" i="1"/>
  <c r="T157" i="1"/>
  <c r="T47" i="1"/>
  <c r="T257" i="1"/>
  <c r="T271" i="1"/>
  <c r="T24" i="1"/>
  <c r="T488" i="1"/>
  <c r="T504" i="1"/>
  <c r="T487" i="1"/>
  <c r="T405" i="1"/>
  <c r="T268" i="1"/>
  <c r="T66" i="1"/>
  <c r="T80" i="1"/>
  <c r="T36" i="1"/>
  <c r="T7" i="1"/>
  <c r="T220" i="1"/>
  <c r="T457" i="1"/>
  <c r="T288" i="1"/>
  <c r="T429" i="1"/>
  <c r="T130" i="1"/>
  <c r="T93" i="1"/>
  <c r="T248" i="1"/>
  <c r="T101" i="1"/>
  <c r="T128" i="1"/>
  <c r="T49" i="1"/>
  <c r="T309" i="1"/>
  <c r="T392" i="1"/>
  <c r="T233" i="1"/>
  <c r="T341" i="1"/>
  <c r="T131" i="1"/>
  <c r="T286" i="1"/>
  <c r="T316" i="1"/>
  <c r="T180" i="1"/>
  <c r="T395" i="1"/>
  <c r="T209" i="1"/>
  <c r="T414" i="1"/>
  <c r="T203" i="1"/>
  <c r="T421" i="1"/>
  <c r="T33" i="1"/>
  <c r="T444" i="1"/>
  <c r="T481" i="1"/>
  <c r="T224" i="1"/>
  <c r="T509" i="1"/>
  <c r="T151" i="1"/>
  <c r="T467" i="1"/>
  <c r="T142" i="1"/>
  <c r="T306" i="1"/>
  <c r="T149" i="1"/>
  <c r="T299" i="1"/>
  <c r="T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<sst xmlns="http://schemas.openxmlformats.org/spreadsheetml/2006/main" count="593" uniqueCount="581">
  <si>
    <t>Ticker</t>
  </si>
  <si>
    <t>Price</t>
  </si>
  <si>
    <t>Bear</t>
  </si>
  <si>
    <t>Base</t>
  </si>
  <si>
    <t>Bull</t>
  </si>
  <si>
    <t>Discount</t>
  </si>
  <si>
    <t>Rev_g0</t>
  </si>
  <si>
    <t>Rev_g1</t>
  </si>
  <si>
    <t>Rev_g2</t>
  </si>
  <si>
    <t>Margin_d0</t>
  </si>
  <si>
    <t>Margin_d1</t>
  </si>
  <si>
    <t>Margin_d2</t>
  </si>
  <si>
    <t>D_0</t>
  </si>
  <si>
    <t>D_1</t>
  </si>
  <si>
    <t>D_2</t>
  </si>
  <si>
    <t>R_0</t>
  </si>
  <si>
    <t>R_1</t>
  </si>
  <si>
    <t>R_2</t>
  </si>
  <si>
    <t>R_Total</t>
  </si>
  <si>
    <t>R_Rank</t>
  </si>
  <si>
    <t>MOH</t>
  </si>
  <si>
    <t>MCK</t>
  </si>
  <si>
    <t>CHA</t>
  </si>
  <si>
    <t>YB</t>
  </si>
  <si>
    <t>COR</t>
  </si>
  <si>
    <t>PDD</t>
  </si>
  <si>
    <t>APO</t>
  </si>
  <si>
    <t>LULU</t>
  </si>
  <si>
    <t>GM</t>
  </si>
  <si>
    <t>JACK</t>
  </si>
  <si>
    <t>EAT</t>
  </si>
  <si>
    <t>CNC</t>
  </si>
  <si>
    <t>JEF</t>
  </si>
  <si>
    <t>HMC</t>
  </si>
  <si>
    <t>MHO</t>
  </si>
  <si>
    <t>CAH</t>
  </si>
  <si>
    <t>MET</t>
  </si>
  <si>
    <t>FANG</t>
  </si>
  <si>
    <t>JILL</t>
  </si>
  <si>
    <t>DIN</t>
  </si>
  <si>
    <t>AAL</t>
  </si>
  <si>
    <t>HES</t>
  </si>
  <si>
    <t>IAG</t>
  </si>
  <si>
    <t>PAGS</t>
  </si>
  <si>
    <t>MNSO</t>
  </si>
  <si>
    <t>CRI</t>
  </si>
  <si>
    <t>CROX</t>
  </si>
  <si>
    <t>JD</t>
  </si>
  <si>
    <t>HHH</t>
  </si>
  <si>
    <t>TRV</t>
  </si>
  <si>
    <t>ARCO</t>
  </si>
  <si>
    <t>F</t>
  </si>
  <si>
    <t>CAL</t>
  </si>
  <si>
    <t>DVN</t>
  </si>
  <si>
    <t>EGO</t>
  </si>
  <si>
    <t>NATH</t>
  </si>
  <si>
    <t>MOMO</t>
  </si>
  <si>
    <t>GAP</t>
  </si>
  <si>
    <t>TM</t>
  </si>
  <si>
    <t>EXEL</t>
  </si>
  <si>
    <t>MPNGY</t>
  </si>
  <si>
    <t>NEM</t>
  </si>
  <si>
    <t>BYDDY</t>
  </si>
  <si>
    <t>CHTR</t>
  </si>
  <si>
    <t>UAL</t>
  </si>
  <si>
    <t>NOAH</t>
  </si>
  <si>
    <t>LKNCY</t>
  </si>
  <si>
    <t>BBWI</t>
  </si>
  <si>
    <t>LRCX</t>
  </si>
  <si>
    <t>UHS</t>
  </si>
  <si>
    <t>BLMN</t>
  </si>
  <si>
    <t>NVO</t>
  </si>
  <si>
    <t>MGM</t>
  </si>
  <si>
    <t>AMP</t>
  </si>
  <si>
    <t>M</t>
  </si>
  <si>
    <t>FLXS</t>
  </si>
  <si>
    <t>VALE</t>
  </si>
  <si>
    <t>FSLR</t>
  </si>
  <si>
    <t>KLAC</t>
  </si>
  <si>
    <t>HP</t>
  </si>
  <si>
    <t>ALSN</t>
  </si>
  <si>
    <t>BWMX</t>
  </si>
  <si>
    <t>SCVL</t>
  </si>
  <si>
    <t>GPI</t>
  </si>
  <si>
    <t>EOG</t>
  </si>
  <si>
    <t>AFL</t>
  </si>
  <si>
    <t>HDL</t>
  </si>
  <si>
    <t>WEN</t>
  </si>
  <si>
    <t>AEO</t>
  </si>
  <si>
    <t>WDS</t>
  </si>
  <si>
    <t>DVA</t>
  </si>
  <si>
    <t>CMCSA</t>
  </si>
  <si>
    <t>SLB</t>
  </si>
  <si>
    <t>DAL</t>
  </si>
  <si>
    <t>DBX</t>
  </si>
  <si>
    <t>SKX</t>
  </si>
  <si>
    <t>HTHT</t>
  </si>
  <si>
    <t>BBY</t>
  </si>
  <si>
    <t>FUTU</t>
  </si>
  <si>
    <t>SKY</t>
  </si>
  <si>
    <t>SCCO</t>
  </si>
  <si>
    <t>SU</t>
  </si>
  <si>
    <t>FCX</t>
  </si>
  <si>
    <t>WDC</t>
  </si>
  <si>
    <t>META</t>
  </si>
  <si>
    <t>TTE</t>
  </si>
  <si>
    <t>ABNB</t>
  </si>
  <si>
    <t>JKS</t>
  </si>
  <si>
    <t>TGT</t>
  </si>
  <si>
    <t>TAP</t>
  </si>
  <si>
    <t>FMX</t>
  </si>
  <si>
    <t>MCEM</t>
  </si>
  <si>
    <t>YPF</t>
  </si>
  <si>
    <t>ETSY</t>
  </si>
  <si>
    <t>PYPL</t>
  </si>
  <si>
    <t>LAD</t>
  </si>
  <si>
    <t>OTIS</t>
  </si>
  <si>
    <t>BKNG</t>
  </si>
  <si>
    <t>COIN</t>
  </si>
  <si>
    <t>TSM</t>
  </si>
  <si>
    <t>HPE</t>
  </si>
  <si>
    <t>MRK</t>
  </si>
  <si>
    <t>KGC</t>
  </si>
  <si>
    <t>CMG</t>
  </si>
  <si>
    <t>TEVA</t>
  </si>
  <si>
    <t>SIRI</t>
  </si>
  <si>
    <t>NTES</t>
  </si>
  <si>
    <t>RDY</t>
  </si>
  <si>
    <t>UNH</t>
  </si>
  <si>
    <t>SNY</t>
  </si>
  <si>
    <t>GFI</t>
  </si>
  <si>
    <t>HCA</t>
  </si>
  <si>
    <t>CVE</t>
  </si>
  <si>
    <t>RICK</t>
  </si>
  <si>
    <t>UPS</t>
  </si>
  <si>
    <t>VSCO</t>
  </si>
  <si>
    <t>TXRH</t>
  </si>
  <si>
    <t>ADBE</t>
  </si>
  <si>
    <t>FTNT</t>
  </si>
  <si>
    <t>STZ</t>
  </si>
  <si>
    <t>SINGY</t>
  </si>
  <si>
    <t>QSR</t>
  </si>
  <si>
    <t>VZ</t>
  </si>
  <si>
    <t>FUN</t>
  </si>
  <si>
    <t>AMX</t>
  </si>
  <si>
    <t>UI</t>
  </si>
  <si>
    <t>REGN</t>
  </si>
  <si>
    <t>AXR</t>
  </si>
  <si>
    <t>ULTA</t>
  </si>
  <si>
    <t>STX</t>
  </si>
  <si>
    <t>B</t>
  </si>
  <si>
    <t>G</t>
  </si>
  <si>
    <t>MO</t>
  </si>
  <si>
    <t>DKS</t>
  </si>
  <si>
    <t>LOCO</t>
  </si>
  <si>
    <t>FDX</t>
  </si>
  <si>
    <t>AON</t>
  </si>
  <si>
    <t>NVDA</t>
  </si>
  <si>
    <t>TCOM</t>
  </si>
  <si>
    <t>KHC</t>
  </si>
  <si>
    <t>MA</t>
  </si>
  <si>
    <t>MTCH</t>
  </si>
  <si>
    <t>ROST</t>
  </si>
  <si>
    <t>BIDU</t>
  </si>
  <si>
    <t>SHEL</t>
  </si>
  <si>
    <t>VICI</t>
  </si>
  <si>
    <t>BKR</t>
  </si>
  <si>
    <t>AEM</t>
  </si>
  <si>
    <t>SBUX</t>
  </si>
  <si>
    <t>AMWD</t>
  </si>
  <si>
    <t>GILD</t>
  </si>
  <si>
    <t>BMBL</t>
  </si>
  <si>
    <t>IMO</t>
  </si>
  <si>
    <t>TAL</t>
  </si>
  <si>
    <t>CTSH</t>
  </si>
  <si>
    <t>ZM</t>
  </si>
  <si>
    <t>MELI</t>
  </si>
  <si>
    <t>AU</t>
  </si>
  <si>
    <t>QCOM</t>
  </si>
  <si>
    <t>IBKR</t>
  </si>
  <si>
    <t>GRND</t>
  </si>
  <si>
    <t>CVS</t>
  </si>
  <si>
    <t>GOOG</t>
  </si>
  <si>
    <t>CPB</t>
  </si>
  <si>
    <t>GOOGL</t>
  </si>
  <si>
    <t>CACC</t>
  </si>
  <si>
    <t>VRSN</t>
  </si>
  <si>
    <t>TJX</t>
  </si>
  <si>
    <t>INFY</t>
  </si>
  <si>
    <t>CAKE</t>
  </si>
  <si>
    <t>KR</t>
  </si>
  <si>
    <t>ANET</t>
  </si>
  <si>
    <t>YUMC</t>
  </si>
  <si>
    <t>GSK</t>
  </si>
  <si>
    <t>GRMN</t>
  </si>
  <si>
    <t>FL</t>
  </si>
  <si>
    <t>DLTR</t>
  </si>
  <si>
    <t>PCAR</t>
  </si>
  <si>
    <t>MSFT</t>
  </si>
  <si>
    <t>AZO</t>
  </si>
  <si>
    <t>SFM</t>
  </si>
  <si>
    <t>MT</t>
  </si>
  <si>
    <t>COP</t>
  </si>
  <si>
    <t>AMAT</t>
  </si>
  <si>
    <t>XOM</t>
  </si>
  <si>
    <t>SFD</t>
  </si>
  <si>
    <t>ADP</t>
  </si>
  <si>
    <t>XYZ</t>
  </si>
  <si>
    <t>BABA</t>
  </si>
  <si>
    <t>FRCOY</t>
  </si>
  <si>
    <t>GIS</t>
  </si>
  <si>
    <t>KSS</t>
  </si>
  <si>
    <t>CL</t>
  </si>
  <si>
    <t>CVCO</t>
  </si>
  <si>
    <t>HSY</t>
  </si>
  <si>
    <t>NCLH</t>
  </si>
  <si>
    <t>DELL</t>
  </si>
  <si>
    <t>TTAM</t>
  </si>
  <si>
    <t>TDG</t>
  </si>
  <si>
    <t>CP</t>
  </si>
  <si>
    <t>GD</t>
  </si>
  <si>
    <t>TEF</t>
  </si>
  <si>
    <t>WIT</t>
  </si>
  <si>
    <t>BLK</t>
  </si>
  <si>
    <t>DPZ</t>
  </si>
  <si>
    <t>STLD</t>
  </si>
  <si>
    <t>WLK</t>
  </si>
  <si>
    <t>ET</t>
  </si>
  <si>
    <t>UL</t>
  </si>
  <si>
    <t>AAPL</t>
  </si>
  <si>
    <t>FI</t>
  </si>
  <si>
    <t>HUM</t>
  </si>
  <si>
    <t>LUV</t>
  </si>
  <si>
    <t>MCO</t>
  </si>
  <si>
    <t>JOYY</t>
  </si>
  <si>
    <t>WING</t>
  </si>
  <si>
    <t>DG</t>
  </si>
  <si>
    <t>MDLZ</t>
  </si>
  <si>
    <t>CSX</t>
  </si>
  <si>
    <t>ASCCY</t>
  </si>
  <si>
    <t>CUK</t>
  </si>
  <si>
    <t>SPOT</t>
  </si>
  <si>
    <t>TTD</t>
  </si>
  <si>
    <t>CCL</t>
  </si>
  <si>
    <t>KMB</t>
  </si>
  <si>
    <t>ACN</t>
  </si>
  <si>
    <t>ICE</t>
  </si>
  <si>
    <t>EBAY</t>
  </si>
  <si>
    <t>LLY</t>
  </si>
  <si>
    <t>LVS</t>
  </si>
  <si>
    <t>GWW</t>
  </si>
  <si>
    <t>URI</t>
  </si>
  <si>
    <t>UNP</t>
  </si>
  <si>
    <t>TW</t>
  </si>
  <si>
    <t>SYY</t>
  </si>
  <si>
    <t>V</t>
  </si>
  <si>
    <t>T</t>
  </si>
  <si>
    <t>WIX</t>
  </si>
  <si>
    <t>ASML</t>
  </si>
  <si>
    <t>WTW</t>
  </si>
  <si>
    <t>TASK</t>
  </si>
  <si>
    <t>KDP</t>
  </si>
  <si>
    <t>NSC</t>
  </si>
  <si>
    <t>LMT</t>
  </si>
  <si>
    <t>MHK</t>
  </si>
  <si>
    <t>CBOE</t>
  </si>
  <si>
    <t>RMD</t>
  </si>
  <si>
    <t>DRI</t>
  </si>
  <si>
    <t>CNI</t>
  </si>
  <si>
    <t>PEP</t>
  </si>
  <si>
    <t>JNJ</t>
  </si>
  <si>
    <t>SONY</t>
  </si>
  <si>
    <t>MMC</t>
  </si>
  <si>
    <t>TPL</t>
  </si>
  <si>
    <t>DENN</t>
  </si>
  <si>
    <t>CPNG</t>
  </si>
  <si>
    <t>AJG</t>
  </si>
  <si>
    <t>LYFT</t>
  </si>
  <si>
    <t>AZN</t>
  </si>
  <si>
    <t>BLDR</t>
  </si>
  <si>
    <t>LNG</t>
  </si>
  <si>
    <t>HON</t>
  </si>
  <si>
    <t>CME</t>
  </si>
  <si>
    <t>CPRT</t>
  </si>
  <si>
    <t>NDAQ</t>
  </si>
  <si>
    <t>TAK</t>
  </si>
  <si>
    <t>AMGN</t>
  </si>
  <si>
    <t>TT</t>
  </si>
  <si>
    <t>CARR</t>
  </si>
  <si>
    <t>BMY</t>
  </si>
  <si>
    <t>PM</t>
  </si>
  <si>
    <t>MORN</t>
  </si>
  <si>
    <t>KVUE</t>
  </si>
  <si>
    <t>KLG</t>
  </si>
  <si>
    <t>MDT</t>
  </si>
  <si>
    <t>PAYX</t>
  </si>
  <si>
    <t>TMUS</t>
  </si>
  <si>
    <t>HD</t>
  </si>
  <si>
    <t>BRO</t>
  </si>
  <si>
    <t>AWK</t>
  </si>
  <si>
    <t>PG</t>
  </si>
  <si>
    <t>MMM</t>
  </si>
  <si>
    <t>GCO</t>
  </si>
  <si>
    <t>MAR</t>
  </si>
  <si>
    <t>ENPH</t>
  </si>
  <si>
    <t>KMI</t>
  </si>
  <si>
    <t>DY</t>
  </si>
  <si>
    <t>IQV</t>
  </si>
  <si>
    <t>TSN</t>
  </si>
  <si>
    <t>LOW</t>
  </si>
  <si>
    <t>CRH</t>
  </si>
  <si>
    <t>FERG</t>
  </si>
  <si>
    <t>CSCO</t>
  </si>
  <si>
    <t>WNS</t>
  </si>
  <si>
    <t>GME</t>
  </si>
  <si>
    <t>NOC</t>
  </si>
  <si>
    <t>TCEHY</t>
  </si>
  <si>
    <t>WAB</t>
  </si>
  <si>
    <t>MCD</t>
  </si>
  <si>
    <t>KKR</t>
  </si>
  <si>
    <t>PZZA</t>
  </si>
  <si>
    <t>VLO</t>
  </si>
  <si>
    <t>MLM</t>
  </si>
  <si>
    <t>MARUY</t>
  </si>
  <si>
    <t>APH</t>
  </si>
  <si>
    <t>ITW</t>
  </si>
  <si>
    <t>INTU</t>
  </si>
  <si>
    <t>CMI</t>
  </si>
  <si>
    <t>CAT</t>
  </si>
  <si>
    <t>VST</t>
  </si>
  <si>
    <t>RCL</t>
  </si>
  <si>
    <t>AMZN</t>
  </si>
  <si>
    <t>TFPM</t>
  </si>
  <si>
    <t>EW</t>
  </si>
  <si>
    <t>ITOCY</t>
  </si>
  <si>
    <t>CVX</t>
  </si>
  <si>
    <t>OXY</t>
  </si>
  <si>
    <t>TSCO</t>
  </si>
  <si>
    <t>CRM</t>
  </si>
  <si>
    <t>WM</t>
  </si>
  <si>
    <t>VRT</t>
  </si>
  <si>
    <t>DEO</t>
  </si>
  <si>
    <t>SPGI</t>
  </si>
  <si>
    <t>HUBB</t>
  </si>
  <si>
    <t>KO</t>
  </si>
  <si>
    <t>FLEX</t>
  </si>
  <si>
    <t>CASY</t>
  </si>
  <si>
    <t>CBRL</t>
  </si>
  <si>
    <t>ROP</t>
  </si>
  <si>
    <t>RACE</t>
  </si>
  <si>
    <t>SYK</t>
  </si>
  <si>
    <t>DD</t>
  </si>
  <si>
    <t>DE</t>
  </si>
  <si>
    <t>XIACY</t>
  </si>
  <si>
    <t>EXR</t>
  </si>
  <si>
    <t>BDX</t>
  </si>
  <si>
    <t>VRSK</t>
  </si>
  <si>
    <t>EMR</t>
  </si>
  <si>
    <t>PBT</t>
  </si>
  <si>
    <t>ED</t>
  </si>
  <si>
    <t>NXPI</t>
  </si>
  <si>
    <t>K</t>
  </si>
  <si>
    <t>DIS</t>
  </si>
  <si>
    <t>TEL</t>
  </si>
  <si>
    <t>DUOL</t>
  </si>
  <si>
    <t>TRGP</t>
  </si>
  <si>
    <t>MITSY</t>
  </si>
  <si>
    <t>DUK</t>
  </si>
  <si>
    <t>HII</t>
  </si>
  <si>
    <t>WWD</t>
  </si>
  <si>
    <t>TSEM</t>
  </si>
  <si>
    <t>MPC</t>
  </si>
  <si>
    <t>SWK</t>
  </si>
  <si>
    <t>MKC</t>
  </si>
  <si>
    <t>MNST</t>
  </si>
  <si>
    <t>AER</t>
  </si>
  <si>
    <t>NRG</t>
  </si>
  <si>
    <t>AEP</t>
  </si>
  <si>
    <t>ETN</t>
  </si>
  <si>
    <t>WPM</t>
  </si>
  <si>
    <t>WMT</t>
  </si>
  <si>
    <t>HIMS</t>
  </si>
  <si>
    <t>PNR</t>
  </si>
  <si>
    <t>COST</t>
  </si>
  <si>
    <t>SNPS</t>
  </si>
  <si>
    <t>TOST</t>
  </si>
  <si>
    <t>IBM</t>
  </si>
  <si>
    <t>HLT</t>
  </si>
  <si>
    <t>WCN</t>
  </si>
  <si>
    <t>RTX</t>
  </si>
  <si>
    <t>EA</t>
  </si>
  <si>
    <t>CHRW</t>
  </si>
  <si>
    <t>PK</t>
  </si>
  <si>
    <t>CBRE</t>
  </si>
  <si>
    <t>SAP</t>
  </si>
  <si>
    <t>HOOD</t>
  </si>
  <si>
    <t>HEI</t>
  </si>
  <si>
    <t>FICO</t>
  </si>
  <si>
    <t>NFLX</t>
  </si>
  <si>
    <t>LIN</t>
  </si>
  <si>
    <t>SHW</t>
  </si>
  <si>
    <t>ALC</t>
  </si>
  <si>
    <t>CTAS</t>
  </si>
  <si>
    <t>TME</t>
  </si>
  <si>
    <t>IIIN</t>
  </si>
  <si>
    <t>SE</t>
  </si>
  <si>
    <t>NKE</t>
  </si>
  <si>
    <t>CTVA</t>
  </si>
  <si>
    <t>PH</t>
  </si>
  <si>
    <t>QRVO</t>
  </si>
  <si>
    <t>TMO</t>
  </si>
  <si>
    <t>DT</t>
  </si>
  <si>
    <t>DOCU</t>
  </si>
  <si>
    <t>ADM</t>
  </si>
  <si>
    <t>MMYT</t>
  </si>
  <si>
    <t>LHX</t>
  </si>
  <si>
    <t>ABT</t>
  </si>
  <si>
    <t>MSGE</t>
  </si>
  <si>
    <t>LYV</t>
  </si>
  <si>
    <t>GE</t>
  </si>
  <si>
    <t>CRL</t>
  </si>
  <si>
    <t>VFC</t>
  </si>
  <si>
    <t>PCG</t>
  </si>
  <si>
    <t>DHR</t>
  </si>
  <si>
    <t>A</t>
  </si>
  <si>
    <t>ARIS</t>
  </si>
  <si>
    <t>ETR</t>
  </si>
  <si>
    <t>SHAK</t>
  </si>
  <si>
    <t>BH</t>
  </si>
  <si>
    <t>BSX</t>
  </si>
  <si>
    <t>FAST</t>
  </si>
  <si>
    <t>IDXX</t>
  </si>
  <si>
    <t>APD</t>
  </si>
  <si>
    <t>PWR</t>
  </si>
  <si>
    <t>ECL</t>
  </si>
  <si>
    <t>CEG</t>
  </si>
  <si>
    <t>CRCL</t>
  </si>
  <si>
    <t>DTE</t>
  </si>
  <si>
    <t>EFX</t>
  </si>
  <si>
    <t>WDAY</t>
  </si>
  <si>
    <t>ISRG</t>
  </si>
  <si>
    <t>PSA</t>
  </si>
  <si>
    <t>HWM</t>
  </si>
  <si>
    <t>GRAB</t>
  </si>
  <si>
    <t>ORCL</t>
  </si>
  <si>
    <t>PINS</t>
  </si>
  <si>
    <t>TRI</t>
  </si>
  <si>
    <t>D</t>
  </si>
  <si>
    <t>CDNS</t>
  </si>
  <si>
    <t>CAVA</t>
  </si>
  <si>
    <t>ABBV</t>
  </si>
  <si>
    <t>EL</t>
  </si>
  <si>
    <t>AMT</t>
  </si>
  <si>
    <t>WMB</t>
  </si>
  <si>
    <t>APP</t>
  </si>
  <si>
    <t>TXN</t>
  </si>
  <si>
    <t>UBER</t>
  </si>
  <si>
    <t>NOW</t>
  </si>
  <si>
    <t>JCI</t>
  </si>
  <si>
    <t>SGI</t>
  </si>
  <si>
    <t>NVEE</t>
  </si>
  <si>
    <t>PEG</t>
  </si>
  <si>
    <t>WFG</t>
  </si>
  <si>
    <t>PANW</t>
  </si>
  <si>
    <t>CVNA</t>
  </si>
  <si>
    <t>WEC</t>
  </si>
  <si>
    <t>AS</t>
  </si>
  <si>
    <t>EQIX</t>
  </si>
  <si>
    <t>PBPB</t>
  </si>
  <si>
    <t>VMC</t>
  </si>
  <si>
    <t>VG</t>
  </si>
  <si>
    <t>BB</t>
  </si>
  <si>
    <t>DDOG</t>
  </si>
  <si>
    <t>IRM</t>
  </si>
  <si>
    <t>SHOP</t>
  </si>
  <si>
    <t>TRP</t>
  </si>
  <si>
    <t>FWONK</t>
  </si>
  <si>
    <t>COHR</t>
  </si>
  <si>
    <t>FNV</t>
  </si>
  <si>
    <t>ROK</t>
  </si>
  <si>
    <t>BROS</t>
  </si>
  <si>
    <t>SATS</t>
  </si>
  <si>
    <t>CCJ</t>
  </si>
  <si>
    <t>XEL</t>
  </si>
  <si>
    <t>TWLO</t>
  </si>
  <si>
    <t>AVGO</t>
  </si>
  <si>
    <t>MTSI</t>
  </si>
  <si>
    <t>FLUT</t>
  </si>
  <si>
    <t>MU</t>
  </si>
  <si>
    <t>OKTA</t>
  </si>
  <si>
    <t>CSGP</t>
  </si>
  <si>
    <t>PSX</t>
  </si>
  <si>
    <t>LXU</t>
  </si>
  <si>
    <t>E</t>
  </si>
  <si>
    <t>GLW</t>
  </si>
  <si>
    <t>AMD</t>
  </si>
  <si>
    <t>NEE</t>
  </si>
  <si>
    <t>WELL</t>
  </si>
  <si>
    <t>GEV</t>
  </si>
  <si>
    <t>ADI</t>
  </si>
  <si>
    <t>TSLA</t>
  </si>
  <si>
    <t>CCCS</t>
  </si>
  <si>
    <t>UAA</t>
  </si>
  <si>
    <t>TEAM</t>
  </si>
  <si>
    <t>GDS</t>
  </si>
  <si>
    <t>GPOR</t>
  </si>
  <si>
    <t>CZR</t>
  </si>
  <si>
    <t>DASH</t>
  </si>
  <si>
    <t>ROKU</t>
  </si>
  <si>
    <t>SRE</t>
  </si>
  <si>
    <t>AFRM</t>
  </si>
  <si>
    <t>PLTR</t>
  </si>
  <si>
    <t>DLR</t>
  </si>
  <si>
    <t>ALL</t>
  </si>
  <si>
    <t>VTR</t>
  </si>
  <si>
    <t>GTM</t>
  </si>
  <si>
    <t>CRWD</t>
  </si>
  <si>
    <t>MCHP</t>
  </si>
  <si>
    <t>AXON</t>
  </si>
  <si>
    <t>KVYO</t>
  </si>
  <si>
    <t>MDB</t>
  </si>
  <si>
    <t>TRC</t>
  </si>
  <si>
    <t>PUK</t>
  </si>
  <si>
    <t>CI</t>
  </si>
  <si>
    <t>CRWV</t>
  </si>
  <si>
    <t>NET</t>
  </si>
  <si>
    <t>NTNX</t>
  </si>
  <si>
    <t>USM</t>
  </si>
  <si>
    <t>BAM</t>
  </si>
  <si>
    <t>SBET</t>
  </si>
  <si>
    <t>MSTR</t>
  </si>
  <si>
    <t>QUBT</t>
  </si>
  <si>
    <t>RGTI</t>
  </si>
  <si>
    <t>KRUS</t>
  </si>
  <si>
    <t>INTC</t>
  </si>
  <si>
    <t>MRVL</t>
  </si>
  <si>
    <t>QBTS</t>
  </si>
  <si>
    <t>NTRA</t>
  </si>
  <si>
    <t>ARES</t>
  </si>
  <si>
    <t>ONC</t>
  </si>
  <si>
    <t>RDDT</t>
  </si>
  <si>
    <t>WBD</t>
  </si>
  <si>
    <t>U</t>
  </si>
  <si>
    <t>BA</t>
  </si>
  <si>
    <t>TTWO</t>
  </si>
  <si>
    <t>LB</t>
  </si>
  <si>
    <t>SNOW</t>
  </si>
  <si>
    <t>IONQ</t>
  </si>
  <si>
    <t>RBLX</t>
  </si>
  <si>
    <t>TTAN</t>
  </si>
  <si>
    <t>CFLT</t>
  </si>
  <si>
    <t>OPEN</t>
  </si>
  <si>
    <t>SNAP</t>
  </si>
  <si>
    <t>DKNG</t>
  </si>
  <si>
    <t>INSM</t>
  </si>
  <si>
    <t>TKO</t>
  </si>
  <si>
    <t>FIG</t>
  </si>
  <si>
    <t>FPH</t>
  </si>
  <si>
    <t>SG</t>
  </si>
  <si>
    <t>SEG</t>
  </si>
  <si>
    <t>ALB</t>
  </si>
  <si>
    <t>TDS</t>
  </si>
  <si>
    <t>DNUT</t>
  </si>
  <si>
    <t>AMC</t>
  </si>
  <si>
    <t>CLF</t>
  </si>
  <si>
    <t>FLWS</t>
  </si>
  <si>
    <t>ZK</t>
  </si>
  <si>
    <t>SPHR</t>
  </si>
  <si>
    <t>MSC</t>
  </si>
  <si>
    <t>BN</t>
  </si>
  <si>
    <t>TWNP</t>
  </si>
  <si>
    <t>BEP</t>
  </si>
  <si>
    <t>HE</t>
  </si>
  <si>
    <t>SRFM</t>
  </si>
  <si>
    <t>Q1</t>
  </si>
  <si>
    <t>Q2</t>
  </si>
  <si>
    <t>Q3</t>
  </si>
  <si>
    <t>IQR</t>
  </si>
  <si>
    <t>UB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</si>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</sst>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36A9-79CB-4D29-B504-E74366FFE70E}">
  <dimension ref="A1:V575"/>
  <sheetViews>
    <sheetView tabSelected="1" topLeftCell="E553" workbookViewId="0">
      <selection activeCell="V570" sqref="V570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1" x14ac:dyDescent="0.35">
      <c r="A2" t="s">
        <v>20</v>
      </c>
      <c r="B2" s="2">
        <v>181.54</v>
      </c>
      <c r="C2" s="2">
        <v>726.93</v>
      </c>
      <c r="D2" s="2">
        <v>2104.66</v>
      </c>
      <c r="E2" s="2">
        <v>10703.49</v>
      </c>
      <c r="F2" s="2">
        <v>6.41</v>
      </c>
      <c r="G2">
        <v>2</v>
      </c>
      <c r="H2">
        <v>8</v>
      </c>
      <c r="I2">
        <v>15</v>
      </c>
      <c r="J2">
        <v>1</v>
      </c>
      <c r="K2">
        <v>5</v>
      </c>
      <c r="L2">
        <v>9</v>
      </c>
      <c r="M2" s="1">
        <f t="shared" ref="M2:M65" si="0">C2/$B2-1</f>
        <v>3.0042414894789022</v>
      </c>
      <c r="N2" s="1">
        <f t="shared" ref="N2:N65" si="1">D2/$B2-1</f>
        <v>10.593367852814806</v>
      </c>
      <c r="O2" s="1">
        <f t="shared" ref="O2:O65" si="2">E2/$B2-1</f>
        <v>57.959402886416221</v>
      </c>
      <c r="P2">
        <f t="shared" ref="P2:P65" si="3">_xlfn.RANK.EQ(M2,M$2:M$564)</f>
        <v>1</v>
      </c>
      <c r="Q2">
        <f t="shared" ref="Q2:Q65" si="4">_xlfn.RANK.EQ(N2,N$2:N$564)</f>
        <v>1</v>
      </c>
      <c r="R2">
        <f t="shared" ref="R2:R65" si="5">_xlfn.RANK.EQ(O2,O$2:O$564)</f>
        <v>1</v>
      </c>
      <c r="S2">
        <f t="shared" ref="S2:S65" si="6">SUM(P2:R2)</f>
        <v>3</v>
      </c>
      <c r="T2">
        <f t="shared" ref="T2:T65" si="7">_xlfn.RANK.EQ(S2,S$2:S$564, 1)</f>
        <v>1</v>
      </c>
      <c r="U2" s="1" cm="1">
        <f t="array" ref="U2">MIN(ABS(M2:O2))</f>
        <v>3.0042414894789022</v>
      </c>
    </row>
    <row r="3" spans="1:21" x14ac:dyDescent="0.35">
      <c r="A3" t="s">
        <v>22</v>
      </c>
      <c r="B3" s="2">
        <v>16.95</v>
      </c>
      <c r="C3" s="2">
        <v>42.45</v>
      </c>
      <c r="D3" s="2">
        <v>108.01</v>
      </c>
      <c r="E3" s="2">
        <v>584.70000000000005</v>
      </c>
      <c r="F3" s="2">
        <v>6</v>
      </c>
      <c r="G3">
        <v>2</v>
      </c>
      <c r="H3">
        <v>10</v>
      </c>
      <c r="I3">
        <v>18</v>
      </c>
      <c r="J3">
        <v>1</v>
      </c>
      <c r="K3">
        <v>5</v>
      </c>
      <c r="L3">
        <v>9</v>
      </c>
      <c r="M3" s="1">
        <f t="shared" si="0"/>
        <v>1.5044247787610621</v>
      </c>
      <c r="N3" s="1">
        <f t="shared" si="1"/>
        <v>5.372271386430679</v>
      </c>
      <c r="O3" s="1">
        <f t="shared" si="2"/>
        <v>33.495575221238944</v>
      </c>
      <c r="P3">
        <f t="shared" si="3"/>
        <v>4</v>
      </c>
      <c r="Q3">
        <f t="shared" si="4"/>
        <v>3</v>
      </c>
      <c r="R3">
        <f t="shared" si="5"/>
        <v>3</v>
      </c>
      <c r="S3">
        <f t="shared" si="6"/>
        <v>10</v>
      </c>
      <c r="T3">
        <f t="shared" si="7"/>
        <v>2</v>
      </c>
      <c r="U3" s="1" cm="1">
        <f t="array" ref="U3">MIN(ABS(M3:O3))</f>
        <v>1.5044247787610621</v>
      </c>
    </row>
    <row r="4" spans="1:21" x14ac:dyDescent="0.35">
      <c r="A4" t="s">
        <v>23</v>
      </c>
      <c r="B4" s="2">
        <v>23.59</v>
      </c>
      <c r="C4" s="2">
        <v>54.32</v>
      </c>
      <c r="D4" s="2">
        <v>130.91999999999999</v>
      </c>
      <c r="E4" s="2">
        <v>684.69</v>
      </c>
      <c r="F4" s="2">
        <v>6</v>
      </c>
      <c r="G4">
        <v>2</v>
      </c>
      <c r="H4">
        <v>10</v>
      </c>
      <c r="I4">
        <v>18</v>
      </c>
      <c r="J4">
        <v>1</v>
      </c>
      <c r="K4">
        <v>5</v>
      </c>
      <c r="L4">
        <v>9</v>
      </c>
      <c r="M4" s="1">
        <f t="shared" si="0"/>
        <v>1.3026706231454006</v>
      </c>
      <c r="N4" s="1">
        <f t="shared" si="1"/>
        <v>4.5498092412038993</v>
      </c>
      <c r="O4" s="1">
        <f t="shared" si="2"/>
        <v>28.024586689275118</v>
      </c>
      <c r="P4">
        <f t="shared" si="3"/>
        <v>5</v>
      </c>
      <c r="Q4">
        <f t="shared" si="4"/>
        <v>4</v>
      </c>
      <c r="R4">
        <f t="shared" si="5"/>
        <v>4</v>
      </c>
      <c r="S4">
        <f t="shared" si="6"/>
        <v>13</v>
      </c>
      <c r="T4">
        <f t="shared" si="7"/>
        <v>3</v>
      </c>
      <c r="U4" s="1" cm="1">
        <f t="array" ref="U4">MIN(ABS(M4:O4))</f>
        <v>1.3026706231454006</v>
      </c>
    </row>
    <row r="5" spans="1:21" x14ac:dyDescent="0.35">
      <c r="A5" t="s">
        <v>25</v>
      </c>
      <c r="B5" s="2">
        <v>126.06</v>
      </c>
      <c r="C5" s="2">
        <v>226.18</v>
      </c>
      <c r="D5" s="2">
        <v>536.77</v>
      </c>
      <c r="E5" s="2">
        <v>2776.75</v>
      </c>
      <c r="F5" s="2">
        <v>6</v>
      </c>
      <c r="G5">
        <v>2</v>
      </c>
      <c r="H5">
        <v>10</v>
      </c>
      <c r="I5">
        <v>18</v>
      </c>
      <c r="J5">
        <v>1</v>
      </c>
      <c r="K5">
        <v>5</v>
      </c>
      <c r="L5">
        <v>9</v>
      </c>
      <c r="M5" s="1">
        <f t="shared" si="0"/>
        <v>0.79422497223544353</v>
      </c>
      <c r="N5" s="1">
        <f t="shared" si="1"/>
        <v>3.2580517214025067</v>
      </c>
      <c r="O5" s="1">
        <f t="shared" si="2"/>
        <v>21.02720926542916</v>
      </c>
      <c r="P5">
        <f t="shared" si="3"/>
        <v>14</v>
      </c>
      <c r="Q5">
        <f t="shared" si="4"/>
        <v>6</v>
      </c>
      <c r="R5">
        <f t="shared" si="5"/>
        <v>5</v>
      </c>
      <c r="S5">
        <f t="shared" si="6"/>
        <v>25</v>
      </c>
      <c r="T5">
        <f t="shared" si="7"/>
        <v>4</v>
      </c>
      <c r="U5" s="1" cm="1">
        <f t="array" ref="U5">MIN(ABS(M5:O5))</f>
        <v>0.79422497223544353</v>
      </c>
    </row>
    <row r="6" spans="1:21" x14ac:dyDescent="0.35">
      <c r="A6" t="s">
        <v>21</v>
      </c>
      <c r="B6" s="2">
        <v>706.25</v>
      </c>
      <c r="C6" s="2">
        <v>1014.89</v>
      </c>
      <c r="D6" s="2">
        <v>4825.07</v>
      </c>
      <c r="E6" s="2">
        <v>25333.85</v>
      </c>
      <c r="F6" s="2">
        <v>6.24</v>
      </c>
      <c r="G6">
        <v>2</v>
      </c>
      <c r="H6">
        <v>7</v>
      </c>
      <c r="I6">
        <v>13</v>
      </c>
      <c r="J6">
        <v>1</v>
      </c>
      <c r="K6">
        <v>5</v>
      </c>
      <c r="L6">
        <v>9</v>
      </c>
      <c r="M6" s="1">
        <f t="shared" si="0"/>
        <v>0.43701238938053089</v>
      </c>
      <c r="N6" s="1">
        <f t="shared" si="1"/>
        <v>5.8319575221238935</v>
      </c>
      <c r="O6" s="1">
        <f t="shared" si="2"/>
        <v>34.870938053097341</v>
      </c>
      <c r="P6">
        <f t="shared" si="3"/>
        <v>24</v>
      </c>
      <c r="Q6">
        <f t="shared" si="4"/>
        <v>2</v>
      </c>
      <c r="R6">
        <f t="shared" si="5"/>
        <v>2</v>
      </c>
      <c r="S6">
        <f t="shared" si="6"/>
        <v>28</v>
      </c>
      <c r="T6">
        <f t="shared" si="7"/>
        <v>5</v>
      </c>
      <c r="U6" s="1" cm="1">
        <f t="array" ref="U6">MIN(ABS(M6:O6))</f>
        <v>0.43701238938053089</v>
      </c>
    </row>
    <row r="7" spans="1:21" x14ac:dyDescent="0.35">
      <c r="A7" t="s">
        <v>27</v>
      </c>
      <c r="B7" s="2">
        <v>165.08</v>
      </c>
      <c r="C7" s="2">
        <v>338.05</v>
      </c>
      <c r="D7" s="2">
        <v>514.30999999999995</v>
      </c>
      <c r="E7" s="2">
        <v>1102.22</v>
      </c>
      <c r="F7" s="2">
        <v>6.4</v>
      </c>
      <c r="G7">
        <v>1</v>
      </c>
      <c r="H7">
        <v>5</v>
      </c>
      <c r="I7">
        <v>8</v>
      </c>
      <c r="J7">
        <v>0</v>
      </c>
      <c r="K7">
        <v>2</v>
      </c>
      <c r="L7">
        <v>4</v>
      </c>
      <c r="M7" s="1">
        <f t="shared" si="0"/>
        <v>1.0477950084807364</v>
      </c>
      <c r="N7" s="1">
        <f t="shared" si="1"/>
        <v>2.1155197480009686</v>
      </c>
      <c r="O7" s="1">
        <f t="shared" si="2"/>
        <v>5.6768839350617881</v>
      </c>
      <c r="P7">
        <f t="shared" si="3"/>
        <v>8</v>
      </c>
      <c r="Q7">
        <f t="shared" si="4"/>
        <v>8</v>
      </c>
      <c r="R7">
        <f t="shared" si="5"/>
        <v>20</v>
      </c>
      <c r="S7">
        <f t="shared" si="6"/>
        <v>36</v>
      </c>
      <c r="T7">
        <f t="shared" si="7"/>
        <v>6</v>
      </c>
      <c r="U7" s="1" cm="1">
        <f t="array" ref="U7">MIN(ABS(M7:O7))</f>
        <v>1.0477950084807364</v>
      </c>
    </row>
    <row r="8" spans="1:21" x14ac:dyDescent="0.35">
      <c r="A8" t="s">
        <v>32</v>
      </c>
      <c r="B8" s="2">
        <v>64.290000000000006</v>
      </c>
      <c r="C8" s="2">
        <v>104</v>
      </c>
      <c r="D8" s="2">
        <v>154.80000000000001</v>
      </c>
      <c r="E8" s="2">
        <v>542.72</v>
      </c>
      <c r="F8" s="2">
        <v>12.4</v>
      </c>
      <c r="G8">
        <v>2</v>
      </c>
      <c r="H8">
        <v>10</v>
      </c>
      <c r="I8">
        <v>18</v>
      </c>
      <c r="J8">
        <v>0</v>
      </c>
      <c r="K8">
        <v>0</v>
      </c>
      <c r="L8">
        <v>2</v>
      </c>
      <c r="M8" s="1">
        <f t="shared" si="0"/>
        <v>0.61766993311556995</v>
      </c>
      <c r="N8" s="1">
        <f t="shared" si="1"/>
        <v>1.4078394773681753</v>
      </c>
      <c r="O8" s="1">
        <f t="shared" si="2"/>
        <v>7.4417483278892522</v>
      </c>
      <c r="P8">
        <f t="shared" si="3"/>
        <v>17</v>
      </c>
      <c r="Q8">
        <f t="shared" si="4"/>
        <v>13</v>
      </c>
      <c r="R8">
        <f t="shared" si="5"/>
        <v>12</v>
      </c>
      <c r="S8">
        <f t="shared" si="6"/>
        <v>42</v>
      </c>
      <c r="T8">
        <f t="shared" si="7"/>
        <v>7</v>
      </c>
      <c r="U8" s="1" cm="1">
        <f t="array" ref="U8">MIN(ABS(M8:O8))</f>
        <v>0.61766993311556995</v>
      </c>
    </row>
    <row r="9" spans="1:21" x14ac:dyDescent="0.35">
      <c r="A9" t="s">
        <v>28</v>
      </c>
      <c r="B9" s="2">
        <v>58.01</v>
      </c>
      <c r="C9" s="2">
        <v>119.85</v>
      </c>
      <c r="D9" s="2">
        <v>158.88999999999999</v>
      </c>
      <c r="E9" s="2">
        <v>325.54000000000002</v>
      </c>
      <c r="F9" s="2">
        <v>11.78</v>
      </c>
      <c r="G9">
        <v>1</v>
      </c>
      <c r="H9">
        <v>4</v>
      </c>
      <c r="I9">
        <v>7</v>
      </c>
      <c r="J9">
        <v>0</v>
      </c>
      <c r="K9">
        <v>0</v>
      </c>
      <c r="L9">
        <v>2</v>
      </c>
      <c r="M9" s="1">
        <f t="shared" si="0"/>
        <v>1.0660230994656095</v>
      </c>
      <c r="N9" s="1">
        <f t="shared" si="1"/>
        <v>1.7390105154283741</v>
      </c>
      <c r="O9" s="1">
        <f t="shared" si="2"/>
        <v>4.6117910705050855</v>
      </c>
      <c r="P9">
        <f t="shared" si="3"/>
        <v>7</v>
      </c>
      <c r="Q9">
        <f t="shared" si="4"/>
        <v>9</v>
      </c>
      <c r="R9">
        <f t="shared" si="5"/>
        <v>28</v>
      </c>
      <c r="S9">
        <f t="shared" si="6"/>
        <v>44</v>
      </c>
      <c r="T9">
        <f t="shared" si="7"/>
        <v>8</v>
      </c>
      <c r="U9" s="1" cm="1">
        <f t="array" ref="U9">MIN(ABS(M9:O9))</f>
        <v>1.0660230994656095</v>
      </c>
    </row>
    <row r="10" spans="1:21" x14ac:dyDescent="0.35">
      <c r="A10" t="s">
        <v>24</v>
      </c>
      <c r="B10" s="2">
        <v>302.52</v>
      </c>
      <c r="C10" s="2">
        <v>398.42</v>
      </c>
      <c r="D10" s="2">
        <v>1532.64</v>
      </c>
      <c r="E10" s="2">
        <v>5935.38</v>
      </c>
      <c r="F10" s="2">
        <v>6.44</v>
      </c>
      <c r="G10">
        <v>1</v>
      </c>
      <c r="H10">
        <v>5</v>
      </c>
      <c r="I10">
        <v>10</v>
      </c>
      <c r="J10">
        <v>1</v>
      </c>
      <c r="K10">
        <v>4</v>
      </c>
      <c r="L10">
        <v>7</v>
      </c>
      <c r="M10" s="1">
        <f t="shared" si="0"/>
        <v>0.31700383445722613</v>
      </c>
      <c r="N10" s="1">
        <f t="shared" si="1"/>
        <v>4.0662435541451813</v>
      </c>
      <c r="O10" s="1">
        <f t="shared" si="2"/>
        <v>18.619793732645778</v>
      </c>
      <c r="P10">
        <f t="shared" si="3"/>
        <v>35</v>
      </c>
      <c r="Q10">
        <f t="shared" si="4"/>
        <v>5</v>
      </c>
      <c r="R10">
        <f t="shared" si="5"/>
        <v>6</v>
      </c>
      <c r="S10">
        <f t="shared" si="6"/>
        <v>46</v>
      </c>
      <c r="T10">
        <f t="shared" si="7"/>
        <v>9</v>
      </c>
      <c r="U10" s="1" cm="1">
        <f t="array" ref="U10">MIN(ABS(M10:O10))</f>
        <v>0.31700383445722613</v>
      </c>
    </row>
    <row r="11" spans="1:21" x14ac:dyDescent="0.35">
      <c r="A11" t="s">
        <v>26</v>
      </c>
      <c r="B11" s="2">
        <v>134.41999999999999</v>
      </c>
      <c r="C11" s="2">
        <v>483.47</v>
      </c>
      <c r="D11" s="2">
        <v>500.18</v>
      </c>
      <c r="E11" s="2">
        <v>611.07000000000005</v>
      </c>
      <c r="F11" s="2">
        <v>6.63</v>
      </c>
      <c r="G11">
        <v>-3</v>
      </c>
      <c r="H11">
        <v>1</v>
      </c>
      <c r="I11">
        <v>5</v>
      </c>
      <c r="J11">
        <v>1</v>
      </c>
      <c r="K11">
        <v>5</v>
      </c>
      <c r="L11">
        <v>9</v>
      </c>
      <c r="M11" s="1">
        <f t="shared" si="0"/>
        <v>2.596711798839459</v>
      </c>
      <c r="N11" s="1">
        <f t="shared" si="1"/>
        <v>2.7210236571938702</v>
      </c>
      <c r="O11" s="1">
        <f t="shared" si="2"/>
        <v>3.545975301294451</v>
      </c>
      <c r="P11">
        <f t="shared" si="3"/>
        <v>2</v>
      </c>
      <c r="Q11">
        <f t="shared" si="4"/>
        <v>7</v>
      </c>
      <c r="R11">
        <f t="shared" si="5"/>
        <v>41</v>
      </c>
      <c r="S11">
        <f t="shared" si="6"/>
        <v>50</v>
      </c>
      <c r="T11">
        <f t="shared" si="7"/>
        <v>10</v>
      </c>
      <c r="U11" s="1" cm="1">
        <f t="array" ref="U11">MIN(ABS(M11:O11))</f>
        <v>2.596711798839459</v>
      </c>
    </row>
    <row r="12" spans="1:21" x14ac:dyDescent="0.35">
      <c r="A12" t="s">
        <v>29</v>
      </c>
      <c r="B12" s="2">
        <v>19.940000000000001</v>
      </c>
      <c r="C12" s="2">
        <v>55.01</v>
      </c>
      <c r="D12" s="2">
        <v>53.3</v>
      </c>
      <c r="E12" s="2">
        <v>83.63</v>
      </c>
      <c r="F12" s="2">
        <v>12.81</v>
      </c>
      <c r="G12">
        <v>-3</v>
      </c>
      <c r="H12">
        <v>1</v>
      </c>
      <c r="I12">
        <v>5</v>
      </c>
      <c r="J12">
        <v>0</v>
      </c>
      <c r="K12">
        <v>1</v>
      </c>
      <c r="L12">
        <v>2</v>
      </c>
      <c r="M12" s="1">
        <f t="shared" si="0"/>
        <v>1.7587763289869605</v>
      </c>
      <c r="N12" s="1">
        <f t="shared" si="1"/>
        <v>1.6730190571715142</v>
      </c>
      <c r="O12" s="1">
        <f t="shared" si="2"/>
        <v>3.1940822467402201</v>
      </c>
      <c r="P12">
        <f t="shared" si="3"/>
        <v>3</v>
      </c>
      <c r="Q12">
        <f t="shared" si="4"/>
        <v>10</v>
      </c>
      <c r="R12">
        <f t="shared" si="5"/>
        <v>43</v>
      </c>
      <c r="S12">
        <f t="shared" si="6"/>
        <v>56</v>
      </c>
      <c r="T12">
        <f t="shared" si="7"/>
        <v>11</v>
      </c>
      <c r="U12" s="1" cm="1">
        <f t="array" ref="U12">MIN(ABS(M12:O12))</f>
        <v>1.6730190571715142</v>
      </c>
    </row>
    <row r="13" spans="1:21" x14ac:dyDescent="0.35">
      <c r="A13" t="s">
        <v>31</v>
      </c>
      <c r="B13" s="2">
        <v>31.27</v>
      </c>
      <c r="C13" s="2">
        <v>67.69</v>
      </c>
      <c r="D13" s="2">
        <v>78.7</v>
      </c>
      <c r="E13" s="2">
        <v>144.53</v>
      </c>
      <c r="F13" s="2">
        <v>12.79</v>
      </c>
      <c r="G13">
        <v>0</v>
      </c>
      <c r="H13">
        <v>2</v>
      </c>
      <c r="I13">
        <v>5</v>
      </c>
      <c r="J13">
        <v>0</v>
      </c>
      <c r="K13">
        <v>0</v>
      </c>
      <c r="L13">
        <v>2</v>
      </c>
      <c r="M13" s="1">
        <f t="shared" si="0"/>
        <v>1.1646945954589061</v>
      </c>
      <c r="N13" s="1">
        <f t="shared" si="1"/>
        <v>1.5167892548768789</v>
      </c>
      <c r="O13" s="1">
        <f t="shared" si="2"/>
        <v>3.6220019187719856</v>
      </c>
      <c r="P13">
        <f t="shared" si="3"/>
        <v>6</v>
      </c>
      <c r="Q13">
        <f t="shared" si="4"/>
        <v>12</v>
      </c>
      <c r="R13">
        <f t="shared" si="5"/>
        <v>38</v>
      </c>
      <c r="S13">
        <f t="shared" si="6"/>
        <v>56</v>
      </c>
      <c r="T13">
        <f t="shared" si="7"/>
        <v>11</v>
      </c>
      <c r="U13" s="1" cm="1">
        <f t="array" ref="U13">MIN(ABS(M13:O13))</f>
        <v>1.1646945954589061</v>
      </c>
    </row>
    <row r="14" spans="1:21" x14ac:dyDescent="0.35">
      <c r="A14" t="s">
        <v>34</v>
      </c>
      <c r="B14" s="2">
        <v>151.4</v>
      </c>
      <c r="C14" s="2">
        <v>236.17</v>
      </c>
      <c r="D14" s="2">
        <v>339.18</v>
      </c>
      <c r="E14" s="2">
        <v>774.51</v>
      </c>
      <c r="F14" s="2">
        <v>11.67</v>
      </c>
      <c r="G14">
        <v>1</v>
      </c>
      <c r="H14">
        <v>5</v>
      </c>
      <c r="I14">
        <v>9</v>
      </c>
      <c r="J14">
        <v>0</v>
      </c>
      <c r="K14">
        <v>0</v>
      </c>
      <c r="L14">
        <v>2</v>
      </c>
      <c r="M14" s="1">
        <f t="shared" si="0"/>
        <v>0.55990752972258906</v>
      </c>
      <c r="N14" s="1">
        <f t="shared" si="1"/>
        <v>1.2402906208718627</v>
      </c>
      <c r="O14" s="1">
        <f t="shared" si="2"/>
        <v>4.1156538969616907</v>
      </c>
      <c r="P14">
        <f t="shared" si="3"/>
        <v>20</v>
      </c>
      <c r="Q14">
        <f t="shared" si="4"/>
        <v>15</v>
      </c>
      <c r="R14">
        <f t="shared" si="5"/>
        <v>33</v>
      </c>
      <c r="S14">
        <f t="shared" si="6"/>
        <v>68</v>
      </c>
      <c r="T14">
        <f t="shared" si="7"/>
        <v>13</v>
      </c>
      <c r="U14" s="1" cm="1">
        <f t="array" ref="U14">MIN(ABS(M14:O14))</f>
        <v>0.55990752972258906</v>
      </c>
    </row>
    <row r="15" spans="1:21" x14ac:dyDescent="0.35">
      <c r="A15" t="s">
        <v>33</v>
      </c>
      <c r="B15" s="2">
        <v>34.119999999999997</v>
      </c>
      <c r="C15" s="2">
        <v>65.930000000000007</v>
      </c>
      <c r="D15" s="2">
        <v>78.599999999999994</v>
      </c>
      <c r="E15" s="2">
        <v>128.69</v>
      </c>
      <c r="F15" s="2">
        <v>12.08</v>
      </c>
      <c r="G15">
        <v>1</v>
      </c>
      <c r="H15">
        <v>3</v>
      </c>
      <c r="I15">
        <v>5</v>
      </c>
      <c r="J15">
        <v>0</v>
      </c>
      <c r="K15">
        <v>0</v>
      </c>
      <c r="L15">
        <v>2</v>
      </c>
      <c r="M15" s="1">
        <f t="shared" si="0"/>
        <v>0.93229777256740953</v>
      </c>
      <c r="N15" s="1">
        <f t="shared" si="1"/>
        <v>1.3036342321219228</v>
      </c>
      <c r="O15" s="1">
        <f t="shared" si="2"/>
        <v>2.7716881594372804</v>
      </c>
      <c r="P15">
        <f t="shared" si="3"/>
        <v>10</v>
      </c>
      <c r="Q15">
        <f t="shared" si="4"/>
        <v>14</v>
      </c>
      <c r="R15">
        <f t="shared" si="5"/>
        <v>51</v>
      </c>
      <c r="S15">
        <f t="shared" si="6"/>
        <v>75</v>
      </c>
      <c r="T15">
        <f t="shared" si="7"/>
        <v>14</v>
      </c>
      <c r="U15" s="1" cm="1">
        <f t="array" ref="U15">MIN(ABS(M15:O15))</f>
        <v>0.93229777256740953</v>
      </c>
    </row>
    <row r="16" spans="1:21" x14ac:dyDescent="0.35">
      <c r="A16" t="s">
        <v>30</v>
      </c>
      <c r="B16" s="2">
        <v>153.66</v>
      </c>
      <c r="C16" s="2">
        <v>152.72</v>
      </c>
      <c r="D16" s="2">
        <v>389.25</v>
      </c>
      <c r="E16" s="2">
        <v>2038.73</v>
      </c>
      <c r="F16" s="2">
        <v>7.7</v>
      </c>
      <c r="G16">
        <v>2</v>
      </c>
      <c r="H16">
        <v>10</v>
      </c>
      <c r="I16">
        <v>18</v>
      </c>
      <c r="J16">
        <v>0</v>
      </c>
      <c r="K16">
        <v>2</v>
      </c>
      <c r="L16">
        <v>4</v>
      </c>
      <c r="M16" s="1">
        <f t="shared" si="0"/>
        <v>-6.1174020564883635E-3</v>
      </c>
      <c r="N16" s="1">
        <f t="shared" si="1"/>
        <v>1.5331901600937132</v>
      </c>
      <c r="O16" s="1">
        <f t="shared" si="2"/>
        <v>12.267799036834571</v>
      </c>
      <c r="P16">
        <f t="shared" si="3"/>
        <v>61</v>
      </c>
      <c r="Q16">
        <f t="shared" si="4"/>
        <v>11</v>
      </c>
      <c r="R16">
        <f t="shared" si="5"/>
        <v>7</v>
      </c>
      <c r="S16">
        <f t="shared" si="6"/>
        <v>79</v>
      </c>
      <c r="T16">
        <f t="shared" si="7"/>
        <v>15</v>
      </c>
      <c r="U16" s="1" cm="1">
        <f t="array" ref="U16">MIN(ABS(M16:O16))</f>
        <v>6.1174020564883635E-3</v>
      </c>
    </row>
    <row r="17" spans="1:21" x14ac:dyDescent="0.35">
      <c r="A17" t="s">
        <v>38</v>
      </c>
      <c r="B17" s="2">
        <v>17.77</v>
      </c>
      <c r="C17" s="2">
        <v>33</v>
      </c>
      <c r="D17" s="2">
        <v>36.97</v>
      </c>
      <c r="E17" s="2">
        <v>57.69</v>
      </c>
      <c r="F17" s="2">
        <v>11.02</v>
      </c>
      <c r="G17">
        <v>0</v>
      </c>
      <c r="H17">
        <v>1</v>
      </c>
      <c r="I17">
        <v>5</v>
      </c>
      <c r="J17">
        <v>0</v>
      </c>
      <c r="K17">
        <v>1</v>
      </c>
      <c r="L17">
        <v>2</v>
      </c>
      <c r="M17" s="1">
        <f t="shared" si="0"/>
        <v>0.85706246482836246</v>
      </c>
      <c r="N17" s="1">
        <f t="shared" si="1"/>
        <v>1.0804727068092292</v>
      </c>
      <c r="O17" s="1">
        <f t="shared" si="2"/>
        <v>2.2464828362408555</v>
      </c>
      <c r="P17">
        <f t="shared" si="3"/>
        <v>11</v>
      </c>
      <c r="Q17">
        <f t="shared" si="4"/>
        <v>19</v>
      </c>
      <c r="R17">
        <f t="shared" si="5"/>
        <v>57</v>
      </c>
      <c r="S17">
        <f t="shared" si="6"/>
        <v>87</v>
      </c>
      <c r="T17">
        <f t="shared" si="7"/>
        <v>16</v>
      </c>
      <c r="U17" s="1" cm="1">
        <f t="array" ref="U17">MIN(ABS(M17:O17))</f>
        <v>0.85706246482836246</v>
      </c>
    </row>
    <row r="18" spans="1:21" x14ac:dyDescent="0.35">
      <c r="A18" t="s">
        <v>37</v>
      </c>
      <c r="B18" s="2">
        <v>139.63999999999999</v>
      </c>
      <c r="C18" s="2">
        <v>135.99</v>
      </c>
      <c r="D18" s="2">
        <v>301.56</v>
      </c>
      <c r="E18" s="2">
        <v>1467.52</v>
      </c>
      <c r="F18" s="2">
        <v>10.25</v>
      </c>
      <c r="G18">
        <v>2</v>
      </c>
      <c r="H18">
        <v>10</v>
      </c>
      <c r="I18">
        <v>18</v>
      </c>
      <c r="J18">
        <v>0</v>
      </c>
      <c r="K18">
        <v>0</v>
      </c>
      <c r="L18">
        <v>2</v>
      </c>
      <c r="M18" s="1">
        <f t="shared" si="0"/>
        <v>-2.6138642222858666E-2</v>
      </c>
      <c r="N18" s="1">
        <f t="shared" si="1"/>
        <v>1.1595531366370668</v>
      </c>
      <c r="O18" s="1">
        <f t="shared" si="2"/>
        <v>9.5093096533944443</v>
      </c>
      <c r="P18">
        <f t="shared" si="3"/>
        <v>62</v>
      </c>
      <c r="Q18">
        <f t="shared" si="4"/>
        <v>18</v>
      </c>
      <c r="R18">
        <f t="shared" si="5"/>
        <v>9</v>
      </c>
      <c r="S18">
        <f t="shared" si="6"/>
        <v>89</v>
      </c>
      <c r="T18">
        <f t="shared" si="7"/>
        <v>17</v>
      </c>
      <c r="U18" s="1" cm="1">
        <f t="array" ref="U18">MIN(ABS(M18:O18))</f>
        <v>2.6138642222858666E-2</v>
      </c>
    </row>
    <row r="19" spans="1:21" x14ac:dyDescent="0.35">
      <c r="A19" t="s">
        <v>40</v>
      </c>
      <c r="B19" s="2">
        <v>12.82</v>
      </c>
      <c r="C19" s="2">
        <v>22.99</v>
      </c>
      <c r="D19" s="2">
        <v>25.15</v>
      </c>
      <c r="E19" s="2">
        <v>41.13</v>
      </c>
      <c r="F19" s="2">
        <v>13.43</v>
      </c>
      <c r="G19">
        <v>0</v>
      </c>
      <c r="H19">
        <v>1</v>
      </c>
      <c r="I19">
        <v>5</v>
      </c>
      <c r="J19">
        <v>0</v>
      </c>
      <c r="K19">
        <v>0</v>
      </c>
      <c r="L19">
        <v>2</v>
      </c>
      <c r="M19" s="1">
        <f t="shared" si="0"/>
        <v>0.7932917316692667</v>
      </c>
      <c r="N19" s="1">
        <f t="shared" si="1"/>
        <v>0.96177847113884529</v>
      </c>
      <c r="O19" s="1">
        <f t="shared" si="2"/>
        <v>2.2082683307332296</v>
      </c>
      <c r="P19">
        <f t="shared" si="3"/>
        <v>15</v>
      </c>
      <c r="Q19">
        <f t="shared" si="4"/>
        <v>21</v>
      </c>
      <c r="R19">
        <f t="shared" si="5"/>
        <v>58</v>
      </c>
      <c r="S19">
        <f t="shared" si="6"/>
        <v>94</v>
      </c>
      <c r="T19">
        <f t="shared" si="7"/>
        <v>18</v>
      </c>
      <c r="U19" s="1" cm="1">
        <f t="array" ref="U19">MIN(ABS(M19:O19))</f>
        <v>0.7932917316692667</v>
      </c>
    </row>
    <row r="20" spans="1:21" x14ac:dyDescent="0.35">
      <c r="A20" t="s">
        <v>36</v>
      </c>
      <c r="B20" s="2">
        <v>80.819999999999993</v>
      </c>
      <c r="C20" s="2">
        <v>145.46</v>
      </c>
      <c r="D20" s="2">
        <v>174.84</v>
      </c>
      <c r="E20" s="2">
        <v>241.12</v>
      </c>
      <c r="F20" s="2">
        <v>9.74</v>
      </c>
      <c r="G20">
        <v>1</v>
      </c>
      <c r="H20">
        <v>2</v>
      </c>
      <c r="I20">
        <v>5</v>
      </c>
      <c r="J20">
        <v>1</v>
      </c>
      <c r="K20">
        <v>5</v>
      </c>
      <c r="L20">
        <v>9</v>
      </c>
      <c r="M20" s="1">
        <f t="shared" si="0"/>
        <v>0.7998020292006931</v>
      </c>
      <c r="N20" s="1">
        <f t="shared" si="1"/>
        <v>1.1633259094283597</v>
      </c>
      <c r="O20" s="1">
        <f t="shared" si="2"/>
        <v>1.9834199455580306</v>
      </c>
      <c r="P20">
        <f t="shared" si="3"/>
        <v>13</v>
      </c>
      <c r="Q20">
        <f t="shared" si="4"/>
        <v>17</v>
      </c>
      <c r="R20">
        <f t="shared" si="5"/>
        <v>65</v>
      </c>
      <c r="S20">
        <f t="shared" si="6"/>
        <v>95</v>
      </c>
      <c r="T20">
        <f t="shared" si="7"/>
        <v>19</v>
      </c>
      <c r="U20" s="1" cm="1">
        <f t="array" ref="U20">MIN(ABS(M20:O20))</f>
        <v>0.7998020292006931</v>
      </c>
    </row>
    <row r="21" spans="1:21" x14ac:dyDescent="0.35">
      <c r="A21" t="s">
        <v>43</v>
      </c>
      <c r="B21" s="2">
        <v>9.52</v>
      </c>
      <c r="C21" s="2">
        <v>10.4</v>
      </c>
      <c r="D21" s="2">
        <v>17.7</v>
      </c>
      <c r="E21" s="2">
        <v>58.84</v>
      </c>
      <c r="F21" s="2">
        <v>13.53</v>
      </c>
      <c r="G21">
        <v>2</v>
      </c>
      <c r="H21">
        <v>8</v>
      </c>
      <c r="I21">
        <v>14</v>
      </c>
      <c r="J21">
        <v>0</v>
      </c>
      <c r="K21">
        <v>0</v>
      </c>
      <c r="L21">
        <v>2</v>
      </c>
      <c r="M21" s="1">
        <f t="shared" si="0"/>
        <v>9.2436974789916082E-2</v>
      </c>
      <c r="N21" s="1">
        <f t="shared" si="1"/>
        <v>0.85924369747899165</v>
      </c>
      <c r="O21" s="1">
        <f t="shared" si="2"/>
        <v>5.1806722689075633</v>
      </c>
      <c r="P21">
        <f t="shared" si="3"/>
        <v>48</v>
      </c>
      <c r="Q21">
        <f t="shared" si="4"/>
        <v>24</v>
      </c>
      <c r="R21">
        <f t="shared" si="5"/>
        <v>23</v>
      </c>
      <c r="S21">
        <f t="shared" si="6"/>
        <v>95</v>
      </c>
      <c r="T21">
        <f t="shared" si="7"/>
        <v>19</v>
      </c>
      <c r="U21" s="1" cm="1">
        <f t="array" ref="U21">MIN(ABS(M21:O21))</f>
        <v>9.2436974789916082E-2</v>
      </c>
    </row>
    <row r="22" spans="1:21" x14ac:dyDescent="0.35">
      <c r="A22" t="s">
        <v>39</v>
      </c>
      <c r="B22" s="2">
        <v>22.93</v>
      </c>
      <c r="C22" s="2">
        <v>46.63</v>
      </c>
      <c r="D22" s="2">
        <v>47.06</v>
      </c>
      <c r="E22" s="2">
        <v>67.45</v>
      </c>
      <c r="F22" s="2">
        <v>13.31</v>
      </c>
      <c r="G22">
        <v>-2</v>
      </c>
      <c r="H22">
        <v>1</v>
      </c>
      <c r="I22">
        <v>5</v>
      </c>
      <c r="J22">
        <v>0</v>
      </c>
      <c r="K22">
        <v>0</v>
      </c>
      <c r="L22">
        <v>2</v>
      </c>
      <c r="M22" s="1">
        <f t="shared" si="0"/>
        <v>1.0335804622764937</v>
      </c>
      <c r="N22" s="1">
        <f t="shared" si="1"/>
        <v>1.0523331879633671</v>
      </c>
      <c r="O22" s="1">
        <f t="shared" si="2"/>
        <v>1.9415612734409073</v>
      </c>
      <c r="P22">
        <f t="shared" si="3"/>
        <v>9</v>
      </c>
      <c r="Q22">
        <f t="shared" si="4"/>
        <v>20</v>
      </c>
      <c r="R22">
        <f t="shared" si="5"/>
        <v>67</v>
      </c>
      <c r="S22">
        <f t="shared" si="6"/>
        <v>96</v>
      </c>
      <c r="T22">
        <f t="shared" si="7"/>
        <v>21</v>
      </c>
      <c r="U22" s="1" cm="1">
        <f t="array" ref="U22">MIN(ABS(M22:O22))</f>
        <v>1.0335804622764937</v>
      </c>
    </row>
    <row r="23" spans="1:21" x14ac:dyDescent="0.35">
      <c r="A23" t="s">
        <v>41</v>
      </c>
      <c r="B23" s="2">
        <v>148.97</v>
      </c>
      <c r="C23" s="2">
        <v>137.88</v>
      </c>
      <c r="D23" s="2">
        <v>282.18</v>
      </c>
      <c r="E23" s="2">
        <v>1185.8399999999999</v>
      </c>
      <c r="F23" s="2">
        <v>9.9700000000000006</v>
      </c>
      <c r="G23">
        <v>2</v>
      </c>
      <c r="H23">
        <v>9</v>
      </c>
      <c r="I23">
        <v>16</v>
      </c>
      <c r="J23">
        <v>0</v>
      </c>
      <c r="K23">
        <v>1</v>
      </c>
      <c r="L23">
        <v>2</v>
      </c>
      <c r="M23" s="1">
        <f t="shared" si="0"/>
        <v>-7.4444519030677392E-2</v>
      </c>
      <c r="N23" s="1">
        <f t="shared" si="1"/>
        <v>0.89420688729274356</v>
      </c>
      <c r="O23" s="1">
        <f t="shared" si="2"/>
        <v>6.9602604551251925</v>
      </c>
      <c r="P23">
        <f t="shared" si="3"/>
        <v>67</v>
      </c>
      <c r="Q23">
        <f t="shared" si="4"/>
        <v>22</v>
      </c>
      <c r="R23">
        <f t="shared" si="5"/>
        <v>14</v>
      </c>
      <c r="S23">
        <f t="shared" si="6"/>
        <v>103</v>
      </c>
      <c r="T23">
        <f t="shared" si="7"/>
        <v>22</v>
      </c>
      <c r="U23" s="1" cm="1">
        <f t="array" ref="U23">MIN(ABS(M23:O23))</f>
        <v>7.4444519030677392E-2</v>
      </c>
    </row>
    <row r="24" spans="1:21" x14ac:dyDescent="0.35">
      <c r="A24" t="s">
        <v>35</v>
      </c>
      <c r="B24" s="2">
        <v>152.24</v>
      </c>
      <c r="C24" s="2">
        <v>156.63999999999999</v>
      </c>
      <c r="D24" s="2">
        <v>334.44</v>
      </c>
      <c r="E24" s="2">
        <v>778.46</v>
      </c>
      <c r="F24" s="2">
        <v>7.14</v>
      </c>
      <c r="G24">
        <v>-1</v>
      </c>
      <c r="H24">
        <v>1</v>
      </c>
      <c r="I24">
        <v>5</v>
      </c>
      <c r="J24">
        <v>1</v>
      </c>
      <c r="K24">
        <v>3</v>
      </c>
      <c r="L24">
        <v>5</v>
      </c>
      <c r="M24" s="1">
        <f t="shared" si="0"/>
        <v>2.8901734104046062E-2</v>
      </c>
      <c r="N24" s="1">
        <f t="shared" si="1"/>
        <v>1.1967945349448237</v>
      </c>
      <c r="O24" s="1">
        <f t="shared" si="2"/>
        <v>4.1133736205990541</v>
      </c>
      <c r="P24">
        <f t="shared" si="3"/>
        <v>54</v>
      </c>
      <c r="Q24">
        <f t="shared" si="4"/>
        <v>16</v>
      </c>
      <c r="R24">
        <f t="shared" si="5"/>
        <v>34</v>
      </c>
      <c r="S24">
        <f t="shared" si="6"/>
        <v>104</v>
      </c>
      <c r="T24">
        <f t="shared" si="7"/>
        <v>23</v>
      </c>
      <c r="U24" s="1" cm="1">
        <f t="array" ref="U24">MIN(ABS(M24:O24))</f>
        <v>2.8901734104046062E-2</v>
      </c>
    </row>
    <row r="25" spans="1:21" x14ac:dyDescent="0.35">
      <c r="A25" t="s">
        <v>42</v>
      </c>
      <c r="B25" s="2">
        <v>10.91</v>
      </c>
      <c r="C25" s="2">
        <v>9.61</v>
      </c>
      <c r="D25" s="2">
        <v>20.440000000000001</v>
      </c>
      <c r="E25" s="2">
        <v>97.68</v>
      </c>
      <c r="F25" s="2">
        <v>9.6199999999999992</v>
      </c>
      <c r="G25">
        <v>2</v>
      </c>
      <c r="H25">
        <v>10</v>
      </c>
      <c r="I25">
        <v>18</v>
      </c>
      <c r="J25">
        <v>0</v>
      </c>
      <c r="K25">
        <v>0</v>
      </c>
      <c r="L25">
        <v>2</v>
      </c>
      <c r="M25" s="1">
        <f t="shared" si="0"/>
        <v>-0.11915673693858853</v>
      </c>
      <c r="N25" s="1">
        <f t="shared" si="1"/>
        <v>0.87351054078826773</v>
      </c>
      <c r="O25" s="1">
        <f t="shared" si="2"/>
        <v>7.9532538955087073</v>
      </c>
      <c r="P25">
        <f t="shared" si="3"/>
        <v>74</v>
      </c>
      <c r="Q25">
        <f t="shared" si="4"/>
        <v>23</v>
      </c>
      <c r="R25">
        <f t="shared" si="5"/>
        <v>10</v>
      </c>
      <c r="S25">
        <f t="shared" si="6"/>
        <v>107</v>
      </c>
      <c r="T25">
        <f t="shared" si="7"/>
        <v>24</v>
      </c>
      <c r="U25" s="1" cm="1">
        <f t="array" ref="U25">MIN(ABS(M25:O25))</f>
        <v>0.11915673693858853</v>
      </c>
    </row>
    <row r="26" spans="1:21" x14ac:dyDescent="0.35">
      <c r="A26" t="s">
        <v>47</v>
      </c>
      <c r="B26" s="2">
        <v>33.869999999999997</v>
      </c>
      <c r="C26" s="2">
        <v>46.96</v>
      </c>
      <c r="D26" s="2">
        <v>61.1</v>
      </c>
      <c r="E26" s="2">
        <v>110.69</v>
      </c>
      <c r="F26" s="2">
        <v>10.63</v>
      </c>
      <c r="G26">
        <v>1</v>
      </c>
      <c r="H26">
        <v>3</v>
      </c>
      <c r="I26">
        <v>5</v>
      </c>
      <c r="J26">
        <v>0</v>
      </c>
      <c r="K26">
        <v>1</v>
      </c>
      <c r="L26">
        <v>2</v>
      </c>
      <c r="M26" s="1">
        <f t="shared" si="0"/>
        <v>0.38647770888692068</v>
      </c>
      <c r="N26" s="1">
        <f t="shared" si="1"/>
        <v>0.80395630351343383</v>
      </c>
      <c r="O26" s="1">
        <f t="shared" si="2"/>
        <v>2.2680838500147624</v>
      </c>
      <c r="P26">
        <f t="shared" si="3"/>
        <v>27</v>
      </c>
      <c r="Q26">
        <f t="shared" si="4"/>
        <v>28</v>
      </c>
      <c r="R26">
        <f t="shared" si="5"/>
        <v>56</v>
      </c>
      <c r="S26">
        <f t="shared" si="6"/>
        <v>111</v>
      </c>
      <c r="T26">
        <f t="shared" si="7"/>
        <v>25</v>
      </c>
      <c r="U26" s="1" cm="1">
        <f t="array" ref="U26">MIN(ABS(M26:O26))</f>
        <v>0.38647770888692068</v>
      </c>
    </row>
    <row r="27" spans="1:21" x14ac:dyDescent="0.35">
      <c r="A27" t="s">
        <v>46</v>
      </c>
      <c r="B27" s="2">
        <v>83.28</v>
      </c>
      <c r="C27" s="2">
        <v>135.05000000000001</v>
      </c>
      <c r="D27" s="2">
        <v>154.27000000000001</v>
      </c>
      <c r="E27" s="2">
        <v>239.2</v>
      </c>
      <c r="F27" s="2">
        <v>10.86</v>
      </c>
      <c r="G27">
        <v>0</v>
      </c>
      <c r="H27">
        <v>2</v>
      </c>
      <c r="I27">
        <v>5</v>
      </c>
      <c r="J27">
        <v>0</v>
      </c>
      <c r="K27">
        <v>1</v>
      </c>
      <c r="L27">
        <v>2</v>
      </c>
      <c r="M27" s="1">
        <f t="shared" si="0"/>
        <v>0.62163784822286283</v>
      </c>
      <c r="N27" s="1">
        <f t="shared" si="1"/>
        <v>0.85242555235350626</v>
      </c>
      <c r="O27" s="1">
        <f t="shared" si="2"/>
        <v>1.8722382324687796</v>
      </c>
      <c r="P27">
        <f t="shared" si="3"/>
        <v>16</v>
      </c>
      <c r="Q27">
        <f t="shared" si="4"/>
        <v>27</v>
      </c>
      <c r="R27">
        <f t="shared" si="5"/>
        <v>72</v>
      </c>
      <c r="S27">
        <f t="shared" si="6"/>
        <v>115</v>
      </c>
      <c r="T27">
        <f t="shared" si="7"/>
        <v>26</v>
      </c>
      <c r="U27" s="1" cm="1">
        <f t="array" ref="U27">MIN(ABS(M27:O27))</f>
        <v>0.62163784822286283</v>
      </c>
    </row>
    <row r="28" spans="1:21" x14ac:dyDescent="0.35">
      <c r="A28" t="s">
        <v>44</v>
      </c>
      <c r="B28" s="2">
        <v>24.73</v>
      </c>
      <c r="C28" s="2">
        <v>21.42</v>
      </c>
      <c r="D28" s="2">
        <v>45.96</v>
      </c>
      <c r="E28" s="2">
        <v>216.73</v>
      </c>
      <c r="F28" s="2">
        <v>7.9</v>
      </c>
      <c r="G28">
        <v>2</v>
      </c>
      <c r="H28">
        <v>10</v>
      </c>
      <c r="I28">
        <v>18</v>
      </c>
      <c r="J28">
        <v>0</v>
      </c>
      <c r="K28">
        <v>1</v>
      </c>
      <c r="L28">
        <v>2</v>
      </c>
      <c r="M28" s="1">
        <f t="shared" si="0"/>
        <v>-0.13384553174282243</v>
      </c>
      <c r="N28" s="1">
        <f t="shared" si="1"/>
        <v>0.8584714921148402</v>
      </c>
      <c r="O28" s="1">
        <f t="shared" si="2"/>
        <v>7.7638495754144756</v>
      </c>
      <c r="P28">
        <f t="shared" si="3"/>
        <v>80</v>
      </c>
      <c r="Q28">
        <f t="shared" si="4"/>
        <v>25</v>
      </c>
      <c r="R28">
        <f t="shared" si="5"/>
        <v>11</v>
      </c>
      <c r="S28">
        <f t="shared" si="6"/>
        <v>116</v>
      </c>
      <c r="T28">
        <f t="shared" si="7"/>
        <v>27</v>
      </c>
      <c r="U28" s="1" cm="1">
        <f t="array" ref="U28">MIN(ABS(M28:O28))</f>
        <v>0.13384553174282243</v>
      </c>
    </row>
    <row r="29" spans="1:21" x14ac:dyDescent="0.35">
      <c r="A29" t="s">
        <v>45</v>
      </c>
      <c r="B29" s="2">
        <v>28.75</v>
      </c>
      <c r="C29" s="2">
        <v>53.16</v>
      </c>
      <c r="D29" s="2">
        <v>53.35</v>
      </c>
      <c r="E29" s="2">
        <v>80.260000000000005</v>
      </c>
      <c r="F29" s="2">
        <v>11.65</v>
      </c>
      <c r="G29">
        <v>-3</v>
      </c>
      <c r="H29">
        <v>1</v>
      </c>
      <c r="I29">
        <v>5</v>
      </c>
      <c r="J29">
        <v>0</v>
      </c>
      <c r="K29">
        <v>1</v>
      </c>
      <c r="L29">
        <v>2</v>
      </c>
      <c r="M29" s="1">
        <f t="shared" si="0"/>
        <v>0.84904347826086934</v>
      </c>
      <c r="N29" s="1">
        <f t="shared" si="1"/>
        <v>0.8556521739130436</v>
      </c>
      <c r="O29" s="1">
        <f t="shared" si="2"/>
        <v>1.7916521739130435</v>
      </c>
      <c r="P29">
        <f t="shared" si="3"/>
        <v>12</v>
      </c>
      <c r="Q29">
        <f t="shared" si="4"/>
        <v>26</v>
      </c>
      <c r="R29">
        <f t="shared" si="5"/>
        <v>78</v>
      </c>
      <c r="S29">
        <f t="shared" si="6"/>
        <v>116</v>
      </c>
      <c r="T29">
        <f t="shared" si="7"/>
        <v>27</v>
      </c>
      <c r="U29" s="1" cm="1">
        <f t="array" ref="U29">MIN(ABS(M29:O29))</f>
        <v>0.84904347826086934</v>
      </c>
    </row>
    <row r="30" spans="1:21" x14ac:dyDescent="0.35">
      <c r="A30" t="s">
        <v>48</v>
      </c>
      <c r="B30" s="2">
        <v>78.78</v>
      </c>
      <c r="C30" s="2">
        <v>68.849999999999994</v>
      </c>
      <c r="D30" s="2">
        <v>139.87</v>
      </c>
      <c r="E30" s="2">
        <v>658.71</v>
      </c>
      <c r="F30" s="2">
        <v>10.06</v>
      </c>
      <c r="G30">
        <v>2</v>
      </c>
      <c r="H30">
        <v>10</v>
      </c>
      <c r="I30">
        <v>18</v>
      </c>
      <c r="J30">
        <v>0</v>
      </c>
      <c r="K30">
        <v>0</v>
      </c>
      <c r="L30">
        <v>2</v>
      </c>
      <c r="M30" s="1">
        <f t="shared" si="0"/>
        <v>-0.12604722010662617</v>
      </c>
      <c r="N30" s="1">
        <f t="shared" si="1"/>
        <v>0.77545062198527548</v>
      </c>
      <c r="O30" s="1">
        <f t="shared" si="2"/>
        <v>7.3613861386138613</v>
      </c>
      <c r="P30">
        <f t="shared" si="3"/>
        <v>77</v>
      </c>
      <c r="Q30">
        <f t="shared" si="4"/>
        <v>29</v>
      </c>
      <c r="R30">
        <f t="shared" si="5"/>
        <v>13</v>
      </c>
      <c r="S30">
        <f t="shared" si="6"/>
        <v>119</v>
      </c>
      <c r="T30">
        <f t="shared" si="7"/>
        <v>29</v>
      </c>
      <c r="U30" s="1" cm="1">
        <f t="array" ref="U30">MIN(ABS(M30:O30))</f>
        <v>0.12604722010662617</v>
      </c>
    </row>
    <row r="31" spans="1:21" x14ac:dyDescent="0.35">
      <c r="A31" t="s">
        <v>49</v>
      </c>
      <c r="B31" s="2">
        <v>278.93</v>
      </c>
      <c r="C31" s="2">
        <v>393.35</v>
      </c>
      <c r="D31" s="2">
        <v>485.54</v>
      </c>
      <c r="E31" s="2">
        <v>842.56</v>
      </c>
      <c r="F31" s="2">
        <v>9.5299999999999994</v>
      </c>
      <c r="G31">
        <v>1</v>
      </c>
      <c r="H31">
        <v>5</v>
      </c>
      <c r="I31">
        <v>10</v>
      </c>
      <c r="J31">
        <v>1</v>
      </c>
      <c r="K31">
        <v>5</v>
      </c>
      <c r="L31">
        <v>9</v>
      </c>
      <c r="M31" s="1">
        <f t="shared" si="0"/>
        <v>0.41021044706557208</v>
      </c>
      <c r="N31" s="1">
        <f t="shared" si="1"/>
        <v>0.74072347900907043</v>
      </c>
      <c r="O31" s="1">
        <f t="shared" si="2"/>
        <v>2.020686193668662</v>
      </c>
      <c r="P31">
        <f t="shared" si="3"/>
        <v>26</v>
      </c>
      <c r="Q31">
        <f t="shared" si="4"/>
        <v>30</v>
      </c>
      <c r="R31">
        <f t="shared" si="5"/>
        <v>64</v>
      </c>
      <c r="S31">
        <f t="shared" si="6"/>
        <v>120</v>
      </c>
      <c r="T31">
        <f t="shared" si="7"/>
        <v>30</v>
      </c>
      <c r="U31" s="1" cm="1">
        <f t="array" ref="U31">MIN(ABS(M31:O31))</f>
        <v>0.41021044706557208</v>
      </c>
    </row>
    <row r="32" spans="1:21" x14ac:dyDescent="0.35">
      <c r="A32" t="s">
        <v>50</v>
      </c>
      <c r="B32" s="2">
        <v>6.79</v>
      </c>
      <c r="C32" s="2">
        <v>10.06</v>
      </c>
      <c r="D32" s="2">
        <v>11.54</v>
      </c>
      <c r="E32" s="2">
        <v>19.96</v>
      </c>
      <c r="F32" s="2">
        <v>11.95</v>
      </c>
      <c r="G32">
        <v>0</v>
      </c>
      <c r="H32">
        <v>1</v>
      </c>
      <c r="I32">
        <v>5</v>
      </c>
      <c r="J32">
        <v>0</v>
      </c>
      <c r="K32">
        <v>1</v>
      </c>
      <c r="L32">
        <v>2</v>
      </c>
      <c r="M32" s="1">
        <f t="shared" si="0"/>
        <v>0.48159057437407959</v>
      </c>
      <c r="N32" s="1">
        <f t="shared" si="1"/>
        <v>0.69955817378497787</v>
      </c>
      <c r="O32" s="1">
        <f t="shared" si="2"/>
        <v>1.9396170839469811</v>
      </c>
      <c r="P32">
        <f t="shared" si="3"/>
        <v>22</v>
      </c>
      <c r="Q32">
        <f t="shared" si="4"/>
        <v>31</v>
      </c>
      <c r="R32">
        <f t="shared" si="5"/>
        <v>68</v>
      </c>
      <c r="S32">
        <f t="shared" si="6"/>
        <v>121</v>
      </c>
      <c r="T32">
        <f t="shared" si="7"/>
        <v>31</v>
      </c>
      <c r="U32" s="1" cm="1">
        <f t="array" ref="U32">MIN(ABS(M32:O32))</f>
        <v>0.48159057437407959</v>
      </c>
    </row>
    <row r="33" spans="1:21" x14ac:dyDescent="0.35">
      <c r="A33" t="s">
        <v>52</v>
      </c>
      <c r="B33" s="2">
        <v>15.25</v>
      </c>
      <c r="C33" s="2">
        <v>24.42</v>
      </c>
      <c r="D33" s="2">
        <v>24.66</v>
      </c>
      <c r="E33" s="2">
        <v>43.62</v>
      </c>
      <c r="F33" s="2">
        <v>12.53</v>
      </c>
      <c r="G33">
        <v>-3</v>
      </c>
      <c r="H33">
        <v>1</v>
      </c>
      <c r="I33">
        <v>5</v>
      </c>
      <c r="J33">
        <v>0</v>
      </c>
      <c r="K33">
        <v>0</v>
      </c>
      <c r="L33">
        <v>2</v>
      </c>
      <c r="M33" s="1">
        <f t="shared" si="0"/>
        <v>0.60131147540983609</v>
      </c>
      <c r="N33" s="1">
        <f t="shared" si="1"/>
        <v>0.61704918032786882</v>
      </c>
      <c r="O33" s="1">
        <f t="shared" si="2"/>
        <v>1.8603278688524587</v>
      </c>
      <c r="P33">
        <f t="shared" si="3"/>
        <v>18</v>
      </c>
      <c r="Q33">
        <f t="shared" si="4"/>
        <v>33</v>
      </c>
      <c r="R33">
        <f t="shared" si="5"/>
        <v>74</v>
      </c>
      <c r="S33">
        <f t="shared" si="6"/>
        <v>125</v>
      </c>
      <c r="T33">
        <f t="shared" si="7"/>
        <v>32</v>
      </c>
      <c r="U33" s="1" cm="1">
        <f t="array" ref="U33">MIN(ABS(M33:O33))</f>
        <v>0.60131147540983609</v>
      </c>
    </row>
    <row r="34" spans="1:21" x14ac:dyDescent="0.35">
      <c r="A34" t="s">
        <v>51</v>
      </c>
      <c r="B34" s="2">
        <v>11.37</v>
      </c>
      <c r="C34" s="2">
        <v>16.61</v>
      </c>
      <c r="D34" s="2">
        <v>18.920000000000002</v>
      </c>
      <c r="E34" s="2">
        <v>31.1</v>
      </c>
      <c r="F34" s="2">
        <v>12.66</v>
      </c>
      <c r="G34">
        <v>0</v>
      </c>
      <c r="H34">
        <v>2</v>
      </c>
      <c r="I34">
        <v>5</v>
      </c>
      <c r="J34">
        <v>0</v>
      </c>
      <c r="K34">
        <v>0</v>
      </c>
      <c r="L34">
        <v>2</v>
      </c>
      <c r="M34" s="1">
        <f t="shared" si="0"/>
        <v>0.46086191732629733</v>
      </c>
      <c r="N34" s="1">
        <f t="shared" si="1"/>
        <v>0.6640281442392264</v>
      </c>
      <c r="O34" s="1">
        <f t="shared" si="2"/>
        <v>1.7352682497801233</v>
      </c>
      <c r="P34">
        <f t="shared" si="3"/>
        <v>23</v>
      </c>
      <c r="Q34">
        <f t="shared" si="4"/>
        <v>32</v>
      </c>
      <c r="R34">
        <f t="shared" si="5"/>
        <v>80</v>
      </c>
      <c r="S34">
        <f t="shared" si="6"/>
        <v>135</v>
      </c>
      <c r="T34">
        <f t="shared" si="7"/>
        <v>33</v>
      </c>
      <c r="U34" s="1" cm="1">
        <f t="array" ref="U34">MIN(ABS(M34:O34))</f>
        <v>0.46086191732629733</v>
      </c>
    </row>
    <row r="35" spans="1:21" x14ac:dyDescent="0.35">
      <c r="A35" t="s">
        <v>54</v>
      </c>
      <c r="B35" s="2">
        <v>26.81</v>
      </c>
      <c r="C35" s="2">
        <v>22.36</v>
      </c>
      <c r="D35" s="2">
        <v>42.36</v>
      </c>
      <c r="E35" s="2">
        <v>185.13</v>
      </c>
      <c r="F35" s="2">
        <v>10.7</v>
      </c>
      <c r="G35">
        <v>2</v>
      </c>
      <c r="H35">
        <v>10</v>
      </c>
      <c r="I35">
        <v>18</v>
      </c>
      <c r="J35">
        <v>0</v>
      </c>
      <c r="K35">
        <v>0</v>
      </c>
      <c r="L35">
        <v>2</v>
      </c>
      <c r="M35" s="1">
        <f t="shared" si="0"/>
        <v>-0.16598284222305104</v>
      </c>
      <c r="N35" s="1">
        <f t="shared" si="1"/>
        <v>0.58000745990302138</v>
      </c>
      <c r="O35" s="1">
        <f t="shared" si="2"/>
        <v>5.905259231629989</v>
      </c>
      <c r="P35">
        <f t="shared" si="3"/>
        <v>89</v>
      </c>
      <c r="Q35">
        <f t="shared" si="4"/>
        <v>35</v>
      </c>
      <c r="R35">
        <f t="shared" si="5"/>
        <v>19</v>
      </c>
      <c r="S35">
        <f t="shared" si="6"/>
        <v>143</v>
      </c>
      <c r="T35">
        <f t="shared" si="7"/>
        <v>34</v>
      </c>
      <c r="U35" s="1" cm="1">
        <f t="array" ref="U35">MIN(ABS(M35:O35))</f>
        <v>0.16598284222305104</v>
      </c>
    </row>
    <row r="36" spans="1:21" x14ac:dyDescent="0.35">
      <c r="A36" t="s">
        <v>60</v>
      </c>
      <c r="B36" s="2">
        <v>25.96</v>
      </c>
      <c r="C36" s="2">
        <v>21.7</v>
      </c>
      <c r="D36" s="2">
        <v>38.92</v>
      </c>
      <c r="E36" s="2">
        <v>162.03</v>
      </c>
      <c r="F36" s="2">
        <v>10.7</v>
      </c>
      <c r="G36">
        <v>2</v>
      </c>
      <c r="H36">
        <v>10</v>
      </c>
      <c r="I36">
        <v>18</v>
      </c>
      <c r="J36">
        <v>0</v>
      </c>
      <c r="K36">
        <v>1</v>
      </c>
      <c r="L36">
        <v>2</v>
      </c>
      <c r="M36" s="1">
        <f t="shared" si="0"/>
        <v>-0.16409861325115571</v>
      </c>
      <c r="N36" s="1">
        <f t="shared" si="1"/>
        <v>0.49922958397534667</v>
      </c>
      <c r="O36" s="1">
        <f t="shared" si="2"/>
        <v>5.2415254237288131</v>
      </c>
      <c r="P36">
        <f t="shared" si="3"/>
        <v>88</v>
      </c>
      <c r="Q36">
        <f t="shared" si="4"/>
        <v>41</v>
      </c>
      <c r="R36">
        <f t="shared" si="5"/>
        <v>22</v>
      </c>
      <c r="S36">
        <f t="shared" si="6"/>
        <v>151</v>
      </c>
      <c r="T36">
        <f t="shared" si="7"/>
        <v>35</v>
      </c>
      <c r="U36" s="1" cm="1">
        <f t="array" ref="U36">MIN(ABS(M36:O36))</f>
        <v>0.16409861325115571</v>
      </c>
    </row>
    <row r="37" spans="1:21" x14ac:dyDescent="0.35">
      <c r="A37" t="s">
        <v>53</v>
      </c>
      <c r="B37" s="2">
        <v>34.85</v>
      </c>
      <c r="C37" s="2">
        <v>47.24</v>
      </c>
      <c r="D37" s="2">
        <v>55.52</v>
      </c>
      <c r="E37" s="2">
        <v>87.19</v>
      </c>
      <c r="F37" s="2">
        <v>10.97</v>
      </c>
      <c r="G37">
        <v>0</v>
      </c>
      <c r="H37">
        <v>2</v>
      </c>
      <c r="I37">
        <v>5</v>
      </c>
      <c r="J37">
        <v>0</v>
      </c>
      <c r="K37">
        <v>1</v>
      </c>
      <c r="L37">
        <v>2</v>
      </c>
      <c r="M37" s="1">
        <f t="shared" si="0"/>
        <v>0.35552367288378761</v>
      </c>
      <c r="N37" s="1">
        <f t="shared" si="1"/>
        <v>0.593113342898135</v>
      </c>
      <c r="O37" s="1">
        <f t="shared" si="2"/>
        <v>1.5018651362984214</v>
      </c>
      <c r="P37">
        <f t="shared" si="3"/>
        <v>31</v>
      </c>
      <c r="Q37">
        <f t="shared" si="4"/>
        <v>34</v>
      </c>
      <c r="R37">
        <f t="shared" si="5"/>
        <v>93</v>
      </c>
      <c r="S37">
        <f t="shared" si="6"/>
        <v>158</v>
      </c>
      <c r="T37">
        <f t="shared" si="7"/>
        <v>36</v>
      </c>
      <c r="U37" s="1" cm="1">
        <f t="array" ref="U37">MIN(ABS(M37:O37))</f>
        <v>0.35552367288378761</v>
      </c>
    </row>
    <row r="38" spans="1:21" x14ac:dyDescent="0.35">
      <c r="A38" t="s">
        <v>59</v>
      </c>
      <c r="B38" s="2">
        <v>37.700000000000003</v>
      </c>
      <c r="C38" s="2">
        <v>32.65</v>
      </c>
      <c r="D38" s="2">
        <v>57.03</v>
      </c>
      <c r="E38" s="2">
        <v>174.69</v>
      </c>
      <c r="F38" s="2">
        <v>8.68</v>
      </c>
      <c r="G38">
        <v>2</v>
      </c>
      <c r="H38">
        <v>7</v>
      </c>
      <c r="I38">
        <v>13</v>
      </c>
      <c r="J38">
        <v>0</v>
      </c>
      <c r="K38">
        <v>1</v>
      </c>
      <c r="L38">
        <v>2</v>
      </c>
      <c r="M38" s="1">
        <f t="shared" si="0"/>
        <v>-0.13395225464190996</v>
      </c>
      <c r="N38" s="1">
        <f t="shared" si="1"/>
        <v>0.51273209549071619</v>
      </c>
      <c r="O38" s="1">
        <f t="shared" si="2"/>
        <v>3.6336870026525192</v>
      </c>
      <c r="P38">
        <f t="shared" si="3"/>
        <v>81</v>
      </c>
      <c r="Q38">
        <f t="shared" si="4"/>
        <v>40</v>
      </c>
      <c r="R38">
        <f t="shared" si="5"/>
        <v>37</v>
      </c>
      <c r="S38">
        <f t="shared" si="6"/>
        <v>158</v>
      </c>
      <c r="T38">
        <f t="shared" si="7"/>
        <v>36</v>
      </c>
      <c r="U38" s="1" cm="1">
        <f t="array" ref="U38">MIN(ABS(M38:O38))</f>
        <v>0.13395225464190996</v>
      </c>
    </row>
    <row r="39" spans="1:21" x14ac:dyDescent="0.35">
      <c r="A39" t="s">
        <v>70</v>
      </c>
      <c r="B39" s="2">
        <v>6.78</v>
      </c>
      <c r="C39" s="2">
        <v>9.61</v>
      </c>
      <c r="D39" s="2">
        <v>9.6999999999999993</v>
      </c>
      <c r="E39" s="2">
        <v>18</v>
      </c>
      <c r="F39" s="2">
        <v>13.08</v>
      </c>
      <c r="G39">
        <v>-3</v>
      </c>
      <c r="H39">
        <v>1</v>
      </c>
      <c r="I39">
        <v>5</v>
      </c>
      <c r="J39">
        <v>0</v>
      </c>
      <c r="K39">
        <v>0</v>
      </c>
      <c r="L39">
        <v>2</v>
      </c>
      <c r="M39" s="1">
        <f t="shared" si="0"/>
        <v>0.41740412979351027</v>
      </c>
      <c r="N39" s="1">
        <f t="shared" si="1"/>
        <v>0.43067846607669602</v>
      </c>
      <c r="O39" s="1">
        <f t="shared" si="2"/>
        <v>1.6548672566371678</v>
      </c>
      <c r="P39">
        <f t="shared" si="3"/>
        <v>25</v>
      </c>
      <c r="Q39">
        <f t="shared" si="4"/>
        <v>51</v>
      </c>
      <c r="R39">
        <f t="shared" si="5"/>
        <v>82</v>
      </c>
      <c r="S39">
        <f t="shared" si="6"/>
        <v>158</v>
      </c>
      <c r="T39">
        <f t="shared" si="7"/>
        <v>36</v>
      </c>
      <c r="U39" s="1" cm="1">
        <f t="array" ref="U39">MIN(ABS(M39:O39))</f>
        <v>0.41740412979351027</v>
      </c>
    </row>
    <row r="40" spans="1:21" x14ac:dyDescent="0.35">
      <c r="A40" t="s">
        <v>55</v>
      </c>
      <c r="B40" s="2">
        <v>107.73</v>
      </c>
      <c r="C40" s="2">
        <v>116.64</v>
      </c>
      <c r="D40" s="2">
        <v>169.15</v>
      </c>
      <c r="E40" s="2">
        <v>307.98</v>
      </c>
      <c r="F40" s="2">
        <v>6.89</v>
      </c>
      <c r="G40">
        <v>1</v>
      </c>
      <c r="H40">
        <v>3</v>
      </c>
      <c r="I40">
        <v>6</v>
      </c>
      <c r="J40">
        <v>1</v>
      </c>
      <c r="K40">
        <v>5</v>
      </c>
      <c r="L40">
        <v>9</v>
      </c>
      <c r="M40" s="1">
        <f t="shared" si="0"/>
        <v>8.2706766917293173E-2</v>
      </c>
      <c r="N40" s="1">
        <f t="shared" si="1"/>
        <v>0.57012902626937723</v>
      </c>
      <c r="O40" s="1">
        <f t="shared" si="2"/>
        <v>1.8588137009189643</v>
      </c>
      <c r="P40">
        <f t="shared" si="3"/>
        <v>50</v>
      </c>
      <c r="Q40">
        <f t="shared" si="4"/>
        <v>36</v>
      </c>
      <c r="R40">
        <f t="shared" si="5"/>
        <v>75</v>
      </c>
      <c r="S40">
        <f t="shared" si="6"/>
        <v>161</v>
      </c>
      <c r="T40">
        <f t="shared" si="7"/>
        <v>39</v>
      </c>
      <c r="U40" s="1" cm="1">
        <f t="array" ref="U40">MIN(ABS(M40:O40))</f>
        <v>8.2706766917293173E-2</v>
      </c>
    </row>
    <row r="41" spans="1:21" x14ac:dyDescent="0.35">
      <c r="A41" t="s">
        <v>69</v>
      </c>
      <c r="B41" s="2">
        <v>186.06</v>
      </c>
      <c r="C41" s="2">
        <v>181.12</v>
      </c>
      <c r="D41" s="2">
        <v>267.25</v>
      </c>
      <c r="E41" s="2">
        <v>640.48</v>
      </c>
      <c r="F41" s="2">
        <v>11.66</v>
      </c>
      <c r="G41">
        <v>1</v>
      </c>
      <c r="H41">
        <v>5</v>
      </c>
      <c r="I41">
        <v>9</v>
      </c>
      <c r="J41">
        <v>0</v>
      </c>
      <c r="K41">
        <v>0</v>
      </c>
      <c r="L41">
        <v>2</v>
      </c>
      <c r="M41" s="1">
        <f t="shared" si="0"/>
        <v>-2.6550575083306494E-2</v>
      </c>
      <c r="N41" s="1">
        <f t="shared" si="1"/>
        <v>0.43636461356551659</v>
      </c>
      <c r="O41" s="1">
        <f t="shared" si="2"/>
        <v>2.4423304310437493</v>
      </c>
      <c r="P41">
        <f t="shared" si="3"/>
        <v>63</v>
      </c>
      <c r="Q41">
        <f t="shared" si="4"/>
        <v>50</v>
      </c>
      <c r="R41">
        <f t="shared" si="5"/>
        <v>53</v>
      </c>
      <c r="S41">
        <f t="shared" si="6"/>
        <v>166</v>
      </c>
      <c r="T41">
        <f t="shared" si="7"/>
        <v>40</v>
      </c>
      <c r="U41" s="1" cm="1">
        <f t="array" ref="U41">MIN(ABS(M41:O41))</f>
        <v>2.6550575083306494E-2</v>
      </c>
    </row>
    <row r="42" spans="1:21" x14ac:dyDescent="0.35">
      <c r="A42" t="s">
        <v>58</v>
      </c>
      <c r="B42" s="2">
        <v>198.34</v>
      </c>
      <c r="C42" s="2">
        <v>257.29000000000002</v>
      </c>
      <c r="D42" s="2">
        <v>307.68</v>
      </c>
      <c r="E42" s="2">
        <v>485.65</v>
      </c>
      <c r="F42" s="2">
        <v>11.78</v>
      </c>
      <c r="G42">
        <v>1</v>
      </c>
      <c r="H42">
        <v>3</v>
      </c>
      <c r="I42">
        <v>5</v>
      </c>
      <c r="J42">
        <v>0</v>
      </c>
      <c r="K42">
        <v>0</v>
      </c>
      <c r="L42">
        <v>2</v>
      </c>
      <c r="M42" s="1">
        <f t="shared" si="0"/>
        <v>0.29721690027225978</v>
      </c>
      <c r="N42" s="1">
        <f t="shared" si="1"/>
        <v>0.5512755873752142</v>
      </c>
      <c r="O42" s="1">
        <f t="shared" si="2"/>
        <v>1.4485731572047995</v>
      </c>
      <c r="P42">
        <f t="shared" si="3"/>
        <v>37</v>
      </c>
      <c r="Q42">
        <f t="shared" si="4"/>
        <v>39</v>
      </c>
      <c r="R42">
        <f t="shared" si="5"/>
        <v>94</v>
      </c>
      <c r="S42">
        <f t="shared" si="6"/>
        <v>170</v>
      </c>
      <c r="T42">
        <f t="shared" si="7"/>
        <v>41</v>
      </c>
      <c r="U42" s="1" cm="1">
        <f t="array" ref="U42">MIN(ABS(M42:O42))</f>
        <v>0.29721690027225978</v>
      </c>
    </row>
    <row r="43" spans="1:21" x14ac:dyDescent="0.35">
      <c r="A43" t="s">
        <v>57</v>
      </c>
      <c r="B43" s="2">
        <v>24.1</v>
      </c>
      <c r="C43" s="2">
        <v>32.31</v>
      </c>
      <c r="D43" s="2">
        <v>37.590000000000003</v>
      </c>
      <c r="E43" s="2">
        <v>57.43</v>
      </c>
      <c r="F43" s="2">
        <v>9.58</v>
      </c>
      <c r="G43">
        <v>0</v>
      </c>
      <c r="H43">
        <v>1</v>
      </c>
      <c r="I43">
        <v>5</v>
      </c>
      <c r="J43">
        <v>0</v>
      </c>
      <c r="K43">
        <v>2</v>
      </c>
      <c r="L43">
        <v>3</v>
      </c>
      <c r="M43" s="1">
        <f t="shared" si="0"/>
        <v>0.34066390041493788</v>
      </c>
      <c r="N43" s="1">
        <f t="shared" si="1"/>
        <v>0.55975103734439835</v>
      </c>
      <c r="O43" s="1">
        <f t="shared" si="2"/>
        <v>1.3829875518672199</v>
      </c>
      <c r="P43">
        <f t="shared" si="3"/>
        <v>33</v>
      </c>
      <c r="Q43">
        <f t="shared" si="4"/>
        <v>38</v>
      </c>
      <c r="R43">
        <f t="shared" si="5"/>
        <v>101</v>
      </c>
      <c r="S43">
        <f t="shared" si="6"/>
        <v>172</v>
      </c>
      <c r="T43">
        <f t="shared" si="7"/>
        <v>42</v>
      </c>
      <c r="U43" s="1" cm="1">
        <f t="array" ref="U43">MIN(ABS(M43:O43))</f>
        <v>0.34066390041493788</v>
      </c>
    </row>
    <row r="44" spans="1:21" x14ac:dyDescent="0.35">
      <c r="A44" t="s">
        <v>56</v>
      </c>
      <c r="B44" s="2">
        <v>7.57</v>
      </c>
      <c r="C44" s="2">
        <v>12.05</v>
      </c>
      <c r="D44" s="2">
        <v>11.83</v>
      </c>
      <c r="E44" s="2">
        <v>15.64</v>
      </c>
      <c r="F44" s="2">
        <v>12.48</v>
      </c>
      <c r="G44">
        <v>-3</v>
      </c>
      <c r="H44">
        <v>1</v>
      </c>
      <c r="I44">
        <v>5</v>
      </c>
      <c r="J44">
        <v>0</v>
      </c>
      <c r="K44">
        <v>0</v>
      </c>
      <c r="L44">
        <v>2</v>
      </c>
      <c r="M44" s="1">
        <f t="shared" si="0"/>
        <v>0.59180977542932633</v>
      </c>
      <c r="N44" s="1">
        <f t="shared" si="1"/>
        <v>0.56274768824306465</v>
      </c>
      <c r="O44" s="1">
        <f t="shared" si="2"/>
        <v>1.0660501981505943</v>
      </c>
      <c r="P44">
        <f t="shared" si="3"/>
        <v>19</v>
      </c>
      <c r="Q44">
        <f t="shared" si="4"/>
        <v>37</v>
      </c>
      <c r="R44">
        <f t="shared" si="5"/>
        <v>119</v>
      </c>
      <c r="S44">
        <f t="shared" si="6"/>
        <v>175</v>
      </c>
      <c r="T44">
        <f t="shared" si="7"/>
        <v>43</v>
      </c>
      <c r="U44" s="1" cm="1">
        <f t="array" ref="U44">MIN(ABS(M44:O44))</f>
        <v>0.56274768824306465</v>
      </c>
    </row>
    <row r="45" spans="1:21" x14ac:dyDescent="0.35">
      <c r="A45" t="s">
        <v>61</v>
      </c>
      <c r="B45" s="2">
        <v>78.430000000000007</v>
      </c>
      <c r="C45" s="2">
        <v>55</v>
      </c>
      <c r="D45" s="2">
        <v>116.96</v>
      </c>
      <c r="E45" s="2">
        <v>561.26</v>
      </c>
      <c r="F45" s="2">
        <v>9.4499999999999993</v>
      </c>
      <c r="G45">
        <v>2</v>
      </c>
      <c r="H45">
        <v>10</v>
      </c>
      <c r="I45">
        <v>18</v>
      </c>
      <c r="J45">
        <v>0</v>
      </c>
      <c r="K45">
        <v>0</v>
      </c>
      <c r="L45">
        <v>2</v>
      </c>
      <c r="M45" s="1">
        <f t="shared" si="0"/>
        <v>-0.29873772791023845</v>
      </c>
      <c r="N45" s="1">
        <f t="shared" si="1"/>
        <v>0.4912660971567</v>
      </c>
      <c r="O45" s="1">
        <f t="shared" si="2"/>
        <v>6.1561902333290828</v>
      </c>
      <c r="P45">
        <f t="shared" si="3"/>
        <v>116</v>
      </c>
      <c r="Q45">
        <f t="shared" si="4"/>
        <v>42</v>
      </c>
      <c r="R45">
        <f t="shared" si="5"/>
        <v>17</v>
      </c>
      <c r="S45">
        <f t="shared" si="6"/>
        <v>175</v>
      </c>
      <c r="T45">
        <f t="shared" si="7"/>
        <v>43</v>
      </c>
      <c r="U45" s="1" cm="1">
        <f t="array" ref="U45">MIN(ABS(M45:O45))</f>
        <v>0.29873772791023845</v>
      </c>
    </row>
    <row r="46" spans="1:21" x14ac:dyDescent="0.35">
      <c r="A46" t="s">
        <v>62</v>
      </c>
      <c r="B46" s="2">
        <v>13.62</v>
      </c>
      <c r="C46" s="2">
        <v>9.5299999999999994</v>
      </c>
      <c r="D46" s="2">
        <v>20.27</v>
      </c>
      <c r="E46" s="2">
        <v>98.52</v>
      </c>
      <c r="F46" s="2">
        <v>9.91</v>
      </c>
      <c r="G46">
        <v>2</v>
      </c>
      <c r="H46">
        <v>10</v>
      </c>
      <c r="I46">
        <v>18</v>
      </c>
      <c r="J46">
        <v>0</v>
      </c>
      <c r="K46">
        <v>1</v>
      </c>
      <c r="L46">
        <v>2</v>
      </c>
      <c r="M46" s="1">
        <f t="shared" si="0"/>
        <v>-0.30029368575624082</v>
      </c>
      <c r="N46" s="1">
        <f t="shared" si="1"/>
        <v>0.48825256975036724</v>
      </c>
      <c r="O46" s="1">
        <f t="shared" si="2"/>
        <v>6.2334801762114536</v>
      </c>
      <c r="P46">
        <f t="shared" si="3"/>
        <v>117</v>
      </c>
      <c r="Q46">
        <f t="shared" si="4"/>
        <v>43</v>
      </c>
      <c r="R46">
        <f t="shared" si="5"/>
        <v>15</v>
      </c>
      <c r="S46">
        <f t="shared" si="6"/>
        <v>175</v>
      </c>
      <c r="T46">
        <f t="shared" si="7"/>
        <v>43</v>
      </c>
      <c r="U46" s="1" cm="1">
        <f t="array" ref="U46">MIN(ABS(M46:O46))</f>
        <v>0.30029368575624082</v>
      </c>
    </row>
    <row r="47" spans="1:21" x14ac:dyDescent="0.35">
      <c r="A47" t="s">
        <v>63</v>
      </c>
      <c r="B47" s="2">
        <v>263</v>
      </c>
      <c r="C47" s="2">
        <v>357.14</v>
      </c>
      <c r="D47" s="2">
        <v>390.39</v>
      </c>
      <c r="E47" s="2">
        <v>622.66</v>
      </c>
      <c r="F47" s="2">
        <v>12.65</v>
      </c>
      <c r="G47">
        <v>0</v>
      </c>
      <c r="H47">
        <v>1</v>
      </c>
      <c r="I47">
        <v>5</v>
      </c>
      <c r="J47">
        <v>0</v>
      </c>
      <c r="K47">
        <v>0</v>
      </c>
      <c r="L47">
        <v>2</v>
      </c>
      <c r="M47" s="1">
        <f t="shared" si="0"/>
        <v>0.35794676806083636</v>
      </c>
      <c r="N47" s="1">
        <f t="shared" si="1"/>
        <v>0.48437262357414435</v>
      </c>
      <c r="O47" s="1">
        <f t="shared" si="2"/>
        <v>1.3675285171102662</v>
      </c>
      <c r="P47">
        <f t="shared" si="3"/>
        <v>29</v>
      </c>
      <c r="Q47">
        <f t="shared" si="4"/>
        <v>44</v>
      </c>
      <c r="R47">
        <f t="shared" si="5"/>
        <v>104</v>
      </c>
      <c r="S47">
        <f t="shared" si="6"/>
        <v>177</v>
      </c>
      <c r="T47">
        <f t="shared" si="7"/>
        <v>46</v>
      </c>
      <c r="U47" s="1" cm="1">
        <f t="array" ref="U47">MIN(ABS(M47:O47))</f>
        <v>0.35794676806083636</v>
      </c>
    </row>
    <row r="48" spans="1:21" x14ac:dyDescent="0.35">
      <c r="A48" t="s">
        <v>71</v>
      </c>
      <c r="B48" s="2">
        <v>54.3</v>
      </c>
      <c r="C48" s="2">
        <v>49.2</v>
      </c>
      <c r="D48" s="2">
        <v>77.62</v>
      </c>
      <c r="E48" s="2">
        <v>185.25</v>
      </c>
      <c r="F48" s="2">
        <v>8.57</v>
      </c>
      <c r="G48">
        <v>1</v>
      </c>
      <c r="H48">
        <v>5</v>
      </c>
      <c r="I48">
        <v>9</v>
      </c>
      <c r="J48">
        <v>0</v>
      </c>
      <c r="K48">
        <v>1</v>
      </c>
      <c r="L48">
        <v>2</v>
      </c>
      <c r="M48" s="1">
        <f t="shared" si="0"/>
        <v>-9.3922651933701529E-2</v>
      </c>
      <c r="N48" s="1">
        <f t="shared" si="1"/>
        <v>0.42946593001841626</v>
      </c>
      <c r="O48" s="1">
        <f t="shared" si="2"/>
        <v>2.4116022099447516</v>
      </c>
      <c r="P48">
        <f t="shared" si="3"/>
        <v>72</v>
      </c>
      <c r="Q48">
        <f t="shared" si="4"/>
        <v>52</v>
      </c>
      <c r="R48">
        <f t="shared" si="5"/>
        <v>54</v>
      </c>
      <c r="S48">
        <f t="shared" si="6"/>
        <v>178</v>
      </c>
      <c r="T48">
        <f t="shared" si="7"/>
        <v>47</v>
      </c>
      <c r="U48" s="1" cm="1">
        <f t="array" ref="U48">MIN(ABS(M48:O48))</f>
        <v>9.3922651933701529E-2</v>
      </c>
    </row>
    <row r="49" spans="1:21" x14ac:dyDescent="0.35">
      <c r="A49" t="s">
        <v>67</v>
      </c>
      <c r="B49" s="2">
        <v>27.91</v>
      </c>
      <c r="C49" s="2">
        <v>37.89</v>
      </c>
      <c r="D49" s="2">
        <v>40.61</v>
      </c>
      <c r="E49" s="2">
        <v>61.52</v>
      </c>
      <c r="F49" s="2">
        <v>10.35</v>
      </c>
      <c r="G49">
        <v>-1</v>
      </c>
      <c r="H49">
        <v>1</v>
      </c>
      <c r="I49">
        <v>5</v>
      </c>
      <c r="J49">
        <v>0</v>
      </c>
      <c r="K49">
        <v>1</v>
      </c>
      <c r="L49">
        <v>2</v>
      </c>
      <c r="M49" s="1">
        <f t="shared" si="0"/>
        <v>0.35757792905768548</v>
      </c>
      <c r="N49" s="1">
        <f t="shared" si="1"/>
        <v>0.45503403797921882</v>
      </c>
      <c r="O49" s="1">
        <f t="shared" si="2"/>
        <v>1.2042278753135078</v>
      </c>
      <c r="P49">
        <f t="shared" si="3"/>
        <v>30</v>
      </c>
      <c r="Q49">
        <f t="shared" si="4"/>
        <v>48</v>
      </c>
      <c r="R49">
        <f t="shared" si="5"/>
        <v>112</v>
      </c>
      <c r="S49">
        <f t="shared" si="6"/>
        <v>190</v>
      </c>
      <c r="T49">
        <f t="shared" si="7"/>
        <v>48</v>
      </c>
      <c r="U49" s="1" cm="1">
        <f t="array" ref="U49">MIN(ABS(M49:O49))</f>
        <v>0.35757792905768548</v>
      </c>
    </row>
    <row r="50" spans="1:21" x14ac:dyDescent="0.35">
      <c r="A50" t="s">
        <v>64</v>
      </c>
      <c r="B50" s="2">
        <v>107.5</v>
      </c>
      <c r="C50" s="2">
        <v>132.47999999999999</v>
      </c>
      <c r="D50" s="2">
        <v>157.97</v>
      </c>
      <c r="E50" s="2">
        <v>244.72</v>
      </c>
      <c r="F50" s="2">
        <v>11.72</v>
      </c>
      <c r="G50">
        <v>1</v>
      </c>
      <c r="H50">
        <v>3</v>
      </c>
      <c r="I50">
        <v>5</v>
      </c>
      <c r="J50">
        <v>0</v>
      </c>
      <c r="K50">
        <v>1</v>
      </c>
      <c r="L50">
        <v>2</v>
      </c>
      <c r="M50" s="1">
        <f t="shared" si="0"/>
        <v>0.23237209302325579</v>
      </c>
      <c r="N50" s="1">
        <f t="shared" si="1"/>
        <v>0.46948837209302319</v>
      </c>
      <c r="O50" s="1">
        <f t="shared" si="2"/>
        <v>1.2764651162790699</v>
      </c>
      <c r="P50">
        <f t="shared" si="3"/>
        <v>39</v>
      </c>
      <c r="Q50">
        <f t="shared" si="4"/>
        <v>45</v>
      </c>
      <c r="R50">
        <f t="shared" si="5"/>
        <v>108</v>
      </c>
      <c r="S50">
        <f t="shared" si="6"/>
        <v>192</v>
      </c>
      <c r="T50">
        <f t="shared" si="7"/>
        <v>49</v>
      </c>
      <c r="U50" s="1" cm="1">
        <f t="array" ref="U50">MIN(ABS(M50:O50))</f>
        <v>0.23237209302325579</v>
      </c>
    </row>
    <row r="51" spans="1:21" x14ac:dyDescent="0.35">
      <c r="A51" t="s">
        <v>74</v>
      </c>
      <c r="B51" s="2">
        <v>17.12</v>
      </c>
      <c r="C51" s="2">
        <v>22.55</v>
      </c>
      <c r="D51" s="2">
        <v>23.01</v>
      </c>
      <c r="E51" s="2">
        <v>40.06</v>
      </c>
      <c r="F51" s="2">
        <v>12.24</v>
      </c>
      <c r="G51">
        <v>-3</v>
      </c>
      <c r="H51">
        <v>1</v>
      </c>
      <c r="I51">
        <v>5</v>
      </c>
      <c r="J51">
        <v>0</v>
      </c>
      <c r="K51">
        <v>0</v>
      </c>
      <c r="L51">
        <v>2</v>
      </c>
      <c r="M51" s="1">
        <f t="shared" si="0"/>
        <v>0.31717289719626174</v>
      </c>
      <c r="N51" s="1">
        <f t="shared" si="1"/>
        <v>0.34404205607476634</v>
      </c>
      <c r="O51" s="1">
        <f t="shared" si="2"/>
        <v>1.3399532710280373</v>
      </c>
      <c r="P51">
        <f t="shared" si="3"/>
        <v>34</v>
      </c>
      <c r="Q51">
        <f t="shared" si="4"/>
        <v>55</v>
      </c>
      <c r="R51">
        <f t="shared" si="5"/>
        <v>105</v>
      </c>
      <c r="S51">
        <f t="shared" si="6"/>
        <v>194</v>
      </c>
      <c r="T51">
        <f t="shared" si="7"/>
        <v>50</v>
      </c>
      <c r="U51" s="1" cm="1">
        <f t="array" ref="U51">MIN(ABS(M51:O51))</f>
        <v>0.31717289719626174</v>
      </c>
    </row>
    <row r="52" spans="1:21" x14ac:dyDescent="0.35">
      <c r="A52" t="s">
        <v>72</v>
      </c>
      <c r="B52" s="2">
        <v>35.950000000000003</v>
      </c>
      <c r="C52" s="2">
        <v>39.92</v>
      </c>
      <c r="D52" s="2">
        <v>50.34</v>
      </c>
      <c r="E52" s="2">
        <v>87.23</v>
      </c>
      <c r="F52" s="2">
        <v>11.76</v>
      </c>
      <c r="G52">
        <v>1</v>
      </c>
      <c r="H52">
        <v>3</v>
      </c>
      <c r="I52">
        <v>5</v>
      </c>
      <c r="J52">
        <v>0</v>
      </c>
      <c r="K52">
        <v>1</v>
      </c>
      <c r="L52">
        <v>2</v>
      </c>
      <c r="M52" s="1">
        <f t="shared" si="0"/>
        <v>0.11043115438108475</v>
      </c>
      <c r="N52" s="1">
        <f t="shared" si="1"/>
        <v>0.40027816411682893</v>
      </c>
      <c r="O52" s="1">
        <f t="shared" si="2"/>
        <v>1.4264255910987482</v>
      </c>
      <c r="P52">
        <f t="shared" si="3"/>
        <v>47</v>
      </c>
      <c r="Q52">
        <f t="shared" si="4"/>
        <v>53</v>
      </c>
      <c r="R52">
        <f t="shared" si="5"/>
        <v>98</v>
      </c>
      <c r="S52">
        <f t="shared" si="6"/>
        <v>198</v>
      </c>
      <c r="T52">
        <f t="shared" si="7"/>
        <v>51</v>
      </c>
      <c r="U52" s="1" cm="1">
        <f t="array" ref="U52">MIN(ABS(M52:O52))</f>
        <v>0.11043115438108475</v>
      </c>
    </row>
    <row r="53" spans="1:21" x14ac:dyDescent="0.35">
      <c r="A53" t="s">
        <v>66</v>
      </c>
      <c r="B53" s="2">
        <v>36.799999999999997</v>
      </c>
      <c r="C53" s="2">
        <v>23.73</v>
      </c>
      <c r="D53" s="2">
        <v>53.67</v>
      </c>
      <c r="E53" s="2">
        <v>265.89999999999998</v>
      </c>
      <c r="F53" s="2">
        <v>8.32</v>
      </c>
      <c r="G53">
        <v>2</v>
      </c>
      <c r="H53">
        <v>10</v>
      </c>
      <c r="I53">
        <v>18</v>
      </c>
      <c r="J53">
        <v>0</v>
      </c>
      <c r="K53">
        <v>2</v>
      </c>
      <c r="L53">
        <v>3</v>
      </c>
      <c r="M53" s="1">
        <f t="shared" si="0"/>
        <v>-0.35516304347826078</v>
      </c>
      <c r="N53" s="1">
        <f t="shared" si="1"/>
        <v>0.4584239130434784</v>
      </c>
      <c r="O53" s="1">
        <f t="shared" si="2"/>
        <v>6.2255434782608692</v>
      </c>
      <c r="P53">
        <f t="shared" si="3"/>
        <v>137</v>
      </c>
      <c r="Q53">
        <f t="shared" si="4"/>
        <v>47</v>
      </c>
      <c r="R53">
        <f t="shared" si="5"/>
        <v>16</v>
      </c>
      <c r="S53">
        <f t="shared" si="6"/>
        <v>200</v>
      </c>
      <c r="T53">
        <f t="shared" si="7"/>
        <v>52</v>
      </c>
      <c r="U53" s="1" cm="1">
        <f t="array" ref="U53">MIN(ABS(M53:O53))</f>
        <v>0.35516304347826078</v>
      </c>
    </row>
    <row r="54" spans="1:21" x14ac:dyDescent="0.35">
      <c r="A54" t="s">
        <v>68</v>
      </c>
      <c r="B54" s="2">
        <v>107.36</v>
      </c>
      <c r="C54" s="2">
        <v>69.28</v>
      </c>
      <c r="D54" s="2">
        <v>155.74</v>
      </c>
      <c r="E54" s="2">
        <v>753.8</v>
      </c>
      <c r="F54" s="2">
        <v>7.2</v>
      </c>
      <c r="G54">
        <v>2</v>
      </c>
      <c r="H54">
        <v>10</v>
      </c>
      <c r="I54">
        <v>18</v>
      </c>
      <c r="J54">
        <v>0</v>
      </c>
      <c r="K54">
        <v>2</v>
      </c>
      <c r="L54">
        <v>3</v>
      </c>
      <c r="M54" s="1">
        <f t="shared" si="0"/>
        <v>-0.35469448584202679</v>
      </c>
      <c r="N54" s="1">
        <f t="shared" si="1"/>
        <v>0.45063338301043232</v>
      </c>
      <c r="O54" s="1">
        <f t="shared" si="2"/>
        <v>6.0212369597615494</v>
      </c>
      <c r="P54">
        <f t="shared" si="3"/>
        <v>135</v>
      </c>
      <c r="Q54">
        <f t="shared" si="4"/>
        <v>49</v>
      </c>
      <c r="R54">
        <f t="shared" si="5"/>
        <v>18</v>
      </c>
      <c r="S54">
        <f t="shared" si="6"/>
        <v>202</v>
      </c>
      <c r="T54">
        <f t="shared" si="7"/>
        <v>53</v>
      </c>
      <c r="U54" s="1" cm="1">
        <f t="array" ref="U54">MIN(ABS(M54:O54))</f>
        <v>0.35469448584202679</v>
      </c>
    </row>
    <row r="55" spans="1:21" x14ac:dyDescent="0.35">
      <c r="A55" t="s">
        <v>83</v>
      </c>
      <c r="B55" s="2">
        <v>470.83</v>
      </c>
      <c r="C55" s="2">
        <v>388.86</v>
      </c>
      <c r="D55" s="2">
        <v>613.63</v>
      </c>
      <c r="E55" s="2">
        <v>1826.07</v>
      </c>
      <c r="F55" s="2">
        <v>12.68</v>
      </c>
      <c r="G55">
        <v>1</v>
      </c>
      <c r="H55">
        <v>5</v>
      </c>
      <c r="I55">
        <v>9</v>
      </c>
      <c r="J55">
        <v>0</v>
      </c>
      <c r="K55">
        <v>0</v>
      </c>
      <c r="L55">
        <v>2</v>
      </c>
      <c r="M55" s="1">
        <f t="shared" si="0"/>
        <v>-0.17409680776501069</v>
      </c>
      <c r="N55" s="1">
        <f t="shared" si="1"/>
        <v>0.30329418261368235</v>
      </c>
      <c r="O55" s="1">
        <f t="shared" si="2"/>
        <v>2.8784062188050887</v>
      </c>
      <c r="P55">
        <f t="shared" si="3"/>
        <v>94</v>
      </c>
      <c r="Q55">
        <f t="shared" si="4"/>
        <v>64</v>
      </c>
      <c r="R55">
        <f t="shared" si="5"/>
        <v>46</v>
      </c>
      <c r="S55">
        <f t="shared" si="6"/>
        <v>204</v>
      </c>
      <c r="T55">
        <f t="shared" si="7"/>
        <v>54</v>
      </c>
      <c r="U55" s="1" cm="1">
        <f t="array" ref="U55">MIN(ABS(M55:O55))</f>
        <v>0.17409680776501069</v>
      </c>
    </row>
    <row r="56" spans="1:21" x14ac:dyDescent="0.35">
      <c r="A56" t="s">
        <v>75</v>
      </c>
      <c r="B56" s="2">
        <v>49.58</v>
      </c>
      <c r="C56" s="2">
        <v>52.16</v>
      </c>
      <c r="D56" s="2">
        <v>66.28</v>
      </c>
      <c r="E56" s="2">
        <v>117.65</v>
      </c>
      <c r="F56" s="2">
        <v>11.63</v>
      </c>
      <c r="G56">
        <v>1</v>
      </c>
      <c r="H56">
        <v>3</v>
      </c>
      <c r="I56">
        <v>5</v>
      </c>
      <c r="J56">
        <v>0</v>
      </c>
      <c r="K56">
        <v>1</v>
      </c>
      <c r="L56">
        <v>2</v>
      </c>
      <c r="M56" s="1">
        <f t="shared" si="0"/>
        <v>5.2037111738604258E-2</v>
      </c>
      <c r="N56" s="1">
        <f t="shared" si="1"/>
        <v>0.33682936668011298</v>
      </c>
      <c r="O56" s="1">
        <f t="shared" si="2"/>
        <v>1.3729326341266641</v>
      </c>
      <c r="P56">
        <f t="shared" si="3"/>
        <v>53</v>
      </c>
      <c r="Q56">
        <f t="shared" si="4"/>
        <v>56</v>
      </c>
      <c r="R56">
        <f t="shared" si="5"/>
        <v>102</v>
      </c>
      <c r="S56">
        <f t="shared" si="6"/>
        <v>211</v>
      </c>
      <c r="T56">
        <f t="shared" si="7"/>
        <v>55</v>
      </c>
      <c r="U56" s="1" cm="1">
        <f t="array" ref="U56">MIN(ABS(M56:O56))</f>
        <v>5.2037111738604258E-2</v>
      </c>
    </row>
    <row r="57" spans="1:21" x14ac:dyDescent="0.35">
      <c r="A57" t="s">
        <v>81</v>
      </c>
      <c r="B57" s="2">
        <v>13.75</v>
      </c>
      <c r="C57" s="2">
        <v>13.18</v>
      </c>
      <c r="D57" s="2">
        <v>17.96</v>
      </c>
      <c r="E57" s="2">
        <v>35.69</v>
      </c>
      <c r="F57" s="2">
        <v>12.16</v>
      </c>
      <c r="G57">
        <v>1</v>
      </c>
      <c r="H57">
        <v>4</v>
      </c>
      <c r="I57">
        <v>7</v>
      </c>
      <c r="J57">
        <v>0</v>
      </c>
      <c r="K57">
        <v>1</v>
      </c>
      <c r="L57">
        <v>2</v>
      </c>
      <c r="M57" s="1">
        <f t="shared" si="0"/>
        <v>-4.1454545454545522E-2</v>
      </c>
      <c r="N57" s="1">
        <f t="shared" si="1"/>
        <v>0.30618181818181833</v>
      </c>
      <c r="O57" s="1">
        <f t="shared" si="2"/>
        <v>1.5956363636363635</v>
      </c>
      <c r="P57">
        <f t="shared" si="3"/>
        <v>66</v>
      </c>
      <c r="Q57">
        <f t="shared" si="4"/>
        <v>62</v>
      </c>
      <c r="R57">
        <f t="shared" si="5"/>
        <v>84</v>
      </c>
      <c r="S57">
        <f t="shared" si="6"/>
        <v>212</v>
      </c>
      <c r="T57">
        <f t="shared" si="7"/>
        <v>56</v>
      </c>
      <c r="U57" s="1" cm="1">
        <f t="array" ref="U57">MIN(ABS(M57:O57))</f>
        <v>4.1454545454545522E-2</v>
      </c>
    </row>
    <row r="58" spans="1:21" x14ac:dyDescent="0.35">
      <c r="A58" t="s">
        <v>77</v>
      </c>
      <c r="B58" s="2">
        <v>203.06</v>
      </c>
      <c r="C58" s="2">
        <v>132.54</v>
      </c>
      <c r="D58" s="2">
        <v>266.35000000000002</v>
      </c>
      <c r="E58" s="2">
        <v>1218.43</v>
      </c>
      <c r="F58" s="2">
        <v>10.46</v>
      </c>
      <c r="G58">
        <v>2</v>
      </c>
      <c r="H58">
        <v>10</v>
      </c>
      <c r="I58">
        <v>18</v>
      </c>
      <c r="J58">
        <v>0</v>
      </c>
      <c r="K58">
        <v>0</v>
      </c>
      <c r="L58">
        <v>2</v>
      </c>
      <c r="M58" s="1">
        <f t="shared" si="0"/>
        <v>-0.34728651630060081</v>
      </c>
      <c r="N58" s="1">
        <f t="shared" si="1"/>
        <v>0.31168127647000898</v>
      </c>
      <c r="O58" s="1">
        <f t="shared" si="2"/>
        <v>5.0003447256968387</v>
      </c>
      <c r="P58">
        <f t="shared" si="3"/>
        <v>131</v>
      </c>
      <c r="Q58">
        <f t="shared" si="4"/>
        <v>58</v>
      </c>
      <c r="R58">
        <f t="shared" si="5"/>
        <v>25</v>
      </c>
      <c r="S58">
        <f t="shared" si="6"/>
        <v>214</v>
      </c>
      <c r="T58">
        <f t="shared" si="7"/>
        <v>57</v>
      </c>
      <c r="U58" s="1" cm="1">
        <f t="array" ref="U58">MIN(ABS(M58:O58))</f>
        <v>0.31168127647000898</v>
      </c>
    </row>
    <row r="59" spans="1:21" x14ac:dyDescent="0.35">
      <c r="A59" t="s">
        <v>76</v>
      </c>
      <c r="B59" s="2">
        <v>10.67</v>
      </c>
      <c r="C59" s="2">
        <v>14.59</v>
      </c>
      <c r="D59" s="2">
        <v>14.13</v>
      </c>
      <c r="E59" s="2">
        <v>21.06</v>
      </c>
      <c r="F59" s="2">
        <v>11.46</v>
      </c>
      <c r="G59">
        <v>-3</v>
      </c>
      <c r="H59">
        <v>1</v>
      </c>
      <c r="I59">
        <v>5</v>
      </c>
      <c r="J59">
        <v>0</v>
      </c>
      <c r="K59">
        <v>0</v>
      </c>
      <c r="L59">
        <v>2</v>
      </c>
      <c r="M59" s="1">
        <f t="shared" si="0"/>
        <v>0.36738519212746024</v>
      </c>
      <c r="N59" s="1">
        <f t="shared" si="1"/>
        <v>0.32427366447985007</v>
      </c>
      <c r="O59" s="1">
        <f t="shared" si="2"/>
        <v>0.97375820056232421</v>
      </c>
      <c r="P59">
        <f t="shared" si="3"/>
        <v>28</v>
      </c>
      <c r="Q59">
        <f t="shared" si="4"/>
        <v>57</v>
      </c>
      <c r="R59">
        <f t="shared" si="5"/>
        <v>130</v>
      </c>
      <c r="S59">
        <f t="shared" si="6"/>
        <v>215</v>
      </c>
      <c r="T59">
        <f t="shared" si="7"/>
        <v>58</v>
      </c>
      <c r="U59" s="1" cm="1">
        <f t="array" ref="U59">MIN(ABS(M59:O59))</f>
        <v>0.32427366447985007</v>
      </c>
    </row>
    <row r="60" spans="1:21" x14ac:dyDescent="0.35">
      <c r="A60" t="s">
        <v>65</v>
      </c>
      <c r="B60" s="2">
        <v>11.9</v>
      </c>
      <c r="C60" s="2">
        <v>17.760000000000002</v>
      </c>
      <c r="D60" s="2">
        <v>17.45</v>
      </c>
      <c r="E60" s="2">
        <v>20.9</v>
      </c>
      <c r="F60" s="2">
        <v>12.78</v>
      </c>
      <c r="G60">
        <v>-3</v>
      </c>
      <c r="H60">
        <v>1</v>
      </c>
      <c r="I60">
        <v>5</v>
      </c>
      <c r="J60">
        <v>0</v>
      </c>
      <c r="K60">
        <v>0</v>
      </c>
      <c r="L60">
        <v>2</v>
      </c>
      <c r="M60" s="1">
        <f t="shared" si="0"/>
        <v>0.49243697478991599</v>
      </c>
      <c r="N60" s="1">
        <f t="shared" si="1"/>
        <v>0.46638655462184864</v>
      </c>
      <c r="O60" s="1">
        <f t="shared" si="2"/>
        <v>0.75630252100840312</v>
      </c>
      <c r="P60">
        <f t="shared" si="3"/>
        <v>21</v>
      </c>
      <c r="Q60">
        <f t="shared" si="4"/>
        <v>46</v>
      </c>
      <c r="R60">
        <f t="shared" si="5"/>
        <v>153</v>
      </c>
      <c r="S60">
        <f t="shared" si="6"/>
        <v>220</v>
      </c>
      <c r="T60">
        <f t="shared" si="7"/>
        <v>59</v>
      </c>
      <c r="U60" s="1" cm="1">
        <f t="array" ref="U60">MIN(ABS(M60:O60))</f>
        <v>0.46638655462184864</v>
      </c>
    </row>
    <row r="61" spans="1:21" x14ac:dyDescent="0.35">
      <c r="A61" t="s">
        <v>86</v>
      </c>
      <c r="B61" s="2">
        <v>19.03</v>
      </c>
      <c r="C61" s="2">
        <v>14.98</v>
      </c>
      <c r="D61" s="2">
        <v>24.67</v>
      </c>
      <c r="E61" s="2">
        <v>63.98</v>
      </c>
      <c r="F61" s="2">
        <v>8.75</v>
      </c>
      <c r="G61">
        <v>1</v>
      </c>
      <c r="H61">
        <v>6</v>
      </c>
      <c r="I61">
        <v>10</v>
      </c>
      <c r="J61">
        <v>1</v>
      </c>
      <c r="K61">
        <v>3</v>
      </c>
      <c r="L61">
        <v>4</v>
      </c>
      <c r="M61" s="1">
        <f t="shared" si="0"/>
        <v>-0.21282186022070415</v>
      </c>
      <c r="N61" s="1">
        <f t="shared" si="1"/>
        <v>0.2963741460851288</v>
      </c>
      <c r="O61" s="1">
        <f t="shared" si="2"/>
        <v>2.3620599054125062</v>
      </c>
      <c r="P61">
        <f t="shared" si="3"/>
        <v>99</v>
      </c>
      <c r="Q61">
        <f t="shared" si="4"/>
        <v>67</v>
      </c>
      <c r="R61">
        <f t="shared" si="5"/>
        <v>55</v>
      </c>
      <c r="S61">
        <f t="shared" si="6"/>
        <v>221</v>
      </c>
      <c r="T61">
        <f t="shared" si="7"/>
        <v>60</v>
      </c>
      <c r="U61" s="1" cm="1">
        <f t="array" ref="U61">MIN(ABS(M61:O61))</f>
        <v>0.21282186022070415</v>
      </c>
    </row>
    <row r="62" spans="1:21" x14ac:dyDescent="0.35">
      <c r="A62" t="s">
        <v>82</v>
      </c>
      <c r="B62" s="2">
        <v>23.62</v>
      </c>
      <c r="C62" s="2">
        <v>28.07</v>
      </c>
      <c r="D62" s="2">
        <v>30.79</v>
      </c>
      <c r="E62" s="2">
        <v>49.21</v>
      </c>
      <c r="F62" s="2">
        <v>11.91</v>
      </c>
      <c r="G62">
        <v>0</v>
      </c>
      <c r="H62">
        <v>1</v>
      </c>
      <c r="I62">
        <v>5</v>
      </c>
      <c r="J62">
        <v>0</v>
      </c>
      <c r="K62">
        <v>0</v>
      </c>
      <c r="L62">
        <v>2</v>
      </c>
      <c r="M62" s="1">
        <f t="shared" si="0"/>
        <v>0.18839966130397956</v>
      </c>
      <c r="N62" s="1">
        <f t="shared" si="1"/>
        <v>0.30355630821337831</v>
      </c>
      <c r="O62" s="1">
        <f t="shared" si="2"/>
        <v>1.0834038950042335</v>
      </c>
      <c r="P62">
        <f t="shared" si="3"/>
        <v>42</v>
      </c>
      <c r="Q62">
        <f t="shared" si="4"/>
        <v>63</v>
      </c>
      <c r="R62">
        <f t="shared" si="5"/>
        <v>117</v>
      </c>
      <c r="S62">
        <f t="shared" si="6"/>
        <v>222</v>
      </c>
      <c r="T62">
        <f t="shared" si="7"/>
        <v>61</v>
      </c>
      <c r="U62" s="1" cm="1">
        <f t="array" ref="U62">MIN(ABS(M62:O62))</f>
        <v>0.18839966130397956</v>
      </c>
    </row>
    <row r="63" spans="1:21" x14ac:dyDescent="0.35">
      <c r="A63" t="s">
        <v>92</v>
      </c>
      <c r="B63" s="2">
        <v>36.159999999999997</v>
      </c>
      <c r="C63" s="2">
        <v>33.31</v>
      </c>
      <c r="D63" s="2">
        <v>45.72</v>
      </c>
      <c r="E63" s="2">
        <v>92.92</v>
      </c>
      <c r="F63" s="2">
        <v>11.16</v>
      </c>
      <c r="G63">
        <v>1</v>
      </c>
      <c r="H63">
        <v>4</v>
      </c>
      <c r="I63">
        <v>8</v>
      </c>
      <c r="J63">
        <v>0</v>
      </c>
      <c r="K63">
        <v>0</v>
      </c>
      <c r="L63">
        <v>2</v>
      </c>
      <c r="M63" s="1">
        <f t="shared" si="0"/>
        <v>-7.8816371681415753E-2</v>
      </c>
      <c r="N63" s="1">
        <f t="shared" si="1"/>
        <v>0.26438053097345149</v>
      </c>
      <c r="O63" s="1">
        <f t="shared" si="2"/>
        <v>1.569690265486726</v>
      </c>
      <c r="P63">
        <f t="shared" si="3"/>
        <v>68</v>
      </c>
      <c r="Q63">
        <f t="shared" si="4"/>
        <v>74</v>
      </c>
      <c r="R63">
        <f t="shared" si="5"/>
        <v>86</v>
      </c>
      <c r="S63">
        <f t="shared" si="6"/>
        <v>228</v>
      </c>
      <c r="T63">
        <f t="shared" si="7"/>
        <v>62</v>
      </c>
      <c r="U63" s="1" cm="1">
        <f t="array" ref="U63">MIN(ABS(M63:O63))</f>
        <v>7.8816371681415753E-2</v>
      </c>
    </row>
    <row r="64" spans="1:21" x14ac:dyDescent="0.35">
      <c r="A64" t="s">
        <v>80</v>
      </c>
      <c r="B64" s="2">
        <v>89.36</v>
      </c>
      <c r="C64" s="2">
        <v>95.58</v>
      </c>
      <c r="D64" s="2">
        <v>116.96</v>
      </c>
      <c r="E64" s="2">
        <v>182.72</v>
      </c>
      <c r="F64" s="2">
        <v>10.9</v>
      </c>
      <c r="G64">
        <v>1</v>
      </c>
      <c r="H64">
        <v>3</v>
      </c>
      <c r="I64">
        <v>5</v>
      </c>
      <c r="J64">
        <v>0</v>
      </c>
      <c r="K64">
        <v>1</v>
      </c>
      <c r="L64">
        <v>2</v>
      </c>
      <c r="M64" s="1">
        <f t="shared" si="0"/>
        <v>6.9606087735004429E-2</v>
      </c>
      <c r="N64" s="1">
        <f t="shared" si="1"/>
        <v>0.30886302596239923</v>
      </c>
      <c r="O64" s="1">
        <f t="shared" si="2"/>
        <v>1.0447627573858549</v>
      </c>
      <c r="P64">
        <f t="shared" si="3"/>
        <v>51</v>
      </c>
      <c r="Q64">
        <f t="shared" si="4"/>
        <v>61</v>
      </c>
      <c r="R64">
        <f t="shared" si="5"/>
        <v>120</v>
      </c>
      <c r="S64">
        <f t="shared" si="6"/>
        <v>232</v>
      </c>
      <c r="T64">
        <f t="shared" si="7"/>
        <v>63</v>
      </c>
      <c r="U64" s="1" cm="1">
        <f t="array" ref="U64">MIN(ABS(M64:O64))</f>
        <v>6.9606087735004429E-2</v>
      </c>
    </row>
    <row r="65" spans="1:21" x14ac:dyDescent="0.35">
      <c r="A65" t="s">
        <v>79</v>
      </c>
      <c r="B65" s="2">
        <v>20.86</v>
      </c>
      <c r="C65" s="2">
        <v>28.08</v>
      </c>
      <c r="D65" s="2">
        <v>27.32</v>
      </c>
      <c r="E65" s="2">
        <v>39.9</v>
      </c>
      <c r="F65" s="2">
        <v>12.3</v>
      </c>
      <c r="G65">
        <v>-3</v>
      </c>
      <c r="H65">
        <v>1</v>
      </c>
      <c r="I65">
        <v>5</v>
      </c>
      <c r="J65">
        <v>0</v>
      </c>
      <c r="K65">
        <v>0</v>
      </c>
      <c r="L65">
        <v>2</v>
      </c>
      <c r="M65" s="1">
        <f t="shared" si="0"/>
        <v>0.346116970278044</v>
      </c>
      <c r="N65" s="1">
        <f t="shared" si="1"/>
        <v>0.30968360498561842</v>
      </c>
      <c r="O65" s="1">
        <f t="shared" si="2"/>
        <v>0.91275167785234901</v>
      </c>
      <c r="P65">
        <f t="shared" si="3"/>
        <v>32</v>
      </c>
      <c r="Q65">
        <f t="shared" si="4"/>
        <v>60</v>
      </c>
      <c r="R65">
        <f t="shared" si="5"/>
        <v>141</v>
      </c>
      <c r="S65">
        <f t="shared" si="6"/>
        <v>233</v>
      </c>
      <c r="T65">
        <f t="shared" si="7"/>
        <v>64</v>
      </c>
      <c r="U65" s="1" cm="1">
        <f t="array" ref="U65">MIN(ABS(M65:O65))</f>
        <v>0.30968360498561842</v>
      </c>
    </row>
    <row r="66" spans="1:21" x14ac:dyDescent="0.35">
      <c r="A66" t="s">
        <v>88</v>
      </c>
      <c r="B66" s="2">
        <v>18</v>
      </c>
      <c r="C66" s="2">
        <v>20.84</v>
      </c>
      <c r="D66" s="2">
        <v>23.2</v>
      </c>
      <c r="E66" s="2">
        <v>37.19</v>
      </c>
      <c r="F66" s="2">
        <v>11.23</v>
      </c>
      <c r="G66">
        <v>0</v>
      </c>
      <c r="H66">
        <v>1</v>
      </c>
      <c r="I66">
        <v>5</v>
      </c>
      <c r="J66">
        <v>0</v>
      </c>
      <c r="K66">
        <v>1</v>
      </c>
      <c r="L66">
        <v>2</v>
      </c>
      <c r="M66" s="1">
        <f t="shared" ref="M66:M129" si="8">C66/$B66-1</f>
        <v>0.15777777777777779</v>
      </c>
      <c r="N66" s="1">
        <f t="shared" ref="N66:N129" si="9">D66/$B66-1</f>
        <v>0.28888888888888875</v>
      </c>
      <c r="O66" s="1">
        <f t="shared" ref="O66:O129" si="10">E66/$B66-1</f>
        <v>1.0661111111111108</v>
      </c>
      <c r="P66">
        <f t="shared" ref="P66:P129" si="11">_xlfn.RANK.EQ(M66,M$2:M$564)</f>
        <v>46</v>
      </c>
      <c r="Q66">
        <f t="shared" ref="Q66:Q129" si="12">_xlfn.RANK.EQ(N66,N$2:N$564)</f>
        <v>69</v>
      </c>
      <c r="R66">
        <f t="shared" ref="R66:R129" si="13">_xlfn.RANK.EQ(O66,O$2:O$564)</f>
        <v>118</v>
      </c>
      <c r="S66">
        <f t="shared" ref="S66:S129" si="14">SUM(P66:R66)</f>
        <v>233</v>
      </c>
      <c r="T66">
        <f t="shared" ref="T66:T129" si="15">_xlfn.RANK.EQ(S66,S$2:S$564, 1)</f>
        <v>64</v>
      </c>
      <c r="U66" s="1" cm="1">
        <f t="array" ref="U66">MIN(ABS(M66:O66))</f>
        <v>0.15777777777777779</v>
      </c>
    </row>
    <row r="67" spans="1:21" x14ac:dyDescent="0.35">
      <c r="A67" t="s">
        <v>73</v>
      </c>
      <c r="B67" s="2">
        <v>497.08</v>
      </c>
      <c r="C67" s="2">
        <v>629.87</v>
      </c>
      <c r="D67" s="2">
        <v>691.4</v>
      </c>
      <c r="E67" s="2">
        <v>931.05</v>
      </c>
      <c r="F67" s="2">
        <v>9.57</v>
      </c>
      <c r="G67">
        <v>1</v>
      </c>
      <c r="H67">
        <v>5</v>
      </c>
      <c r="I67">
        <v>9</v>
      </c>
      <c r="J67">
        <v>1</v>
      </c>
      <c r="K67">
        <v>5</v>
      </c>
      <c r="L67">
        <v>9</v>
      </c>
      <c r="M67" s="1">
        <f t="shared" si="8"/>
        <v>0.26714009817333229</v>
      </c>
      <c r="N67" s="1">
        <f t="shared" si="9"/>
        <v>0.39092299026313682</v>
      </c>
      <c r="O67" s="1">
        <f t="shared" si="10"/>
        <v>0.87303854510340395</v>
      </c>
      <c r="P67">
        <f t="shared" si="11"/>
        <v>38</v>
      </c>
      <c r="Q67">
        <f t="shared" si="12"/>
        <v>54</v>
      </c>
      <c r="R67">
        <f t="shared" si="13"/>
        <v>142</v>
      </c>
      <c r="S67">
        <f t="shared" si="14"/>
        <v>234</v>
      </c>
      <c r="T67">
        <f t="shared" si="15"/>
        <v>66</v>
      </c>
      <c r="U67" s="1" cm="1">
        <f t="array" ref="U67">MIN(ABS(M67:O67))</f>
        <v>0.26714009817333229</v>
      </c>
    </row>
    <row r="68" spans="1:21" x14ac:dyDescent="0.35">
      <c r="A68" t="s">
        <v>95</v>
      </c>
      <c r="B68" s="2">
        <v>63.2</v>
      </c>
      <c r="C68" s="2">
        <v>51.9</v>
      </c>
      <c r="D68" s="2">
        <v>77.569999999999993</v>
      </c>
      <c r="E68" s="2">
        <v>194.68</v>
      </c>
      <c r="F68" s="2">
        <v>11.49</v>
      </c>
      <c r="G68">
        <v>1</v>
      </c>
      <c r="H68">
        <v>5</v>
      </c>
      <c r="I68">
        <v>10</v>
      </c>
      <c r="J68">
        <v>0</v>
      </c>
      <c r="K68">
        <v>0</v>
      </c>
      <c r="L68">
        <v>2</v>
      </c>
      <c r="M68" s="1">
        <f t="shared" si="8"/>
        <v>-0.17879746835443044</v>
      </c>
      <c r="N68" s="1">
        <f t="shared" si="9"/>
        <v>0.22737341772151876</v>
      </c>
      <c r="O68" s="1">
        <f t="shared" si="10"/>
        <v>2.080379746835443</v>
      </c>
      <c r="P68">
        <f t="shared" si="11"/>
        <v>96</v>
      </c>
      <c r="Q68">
        <f t="shared" si="12"/>
        <v>76</v>
      </c>
      <c r="R68">
        <f t="shared" si="13"/>
        <v>62</v>
      </c>
      <c r="S68">
        <f t="shared" si="14"/>
        <v>234</v>
      </c>
      <c r="T68">
        <f t="shared" si="15"/>
        <v>66</v>
      </c>
      <c r="U68" s="1" cm="1">
        <f t="array" ref="U68">MIN(ABS(M68:O68))</f>
        <v>0.17879746835443044</v>
      </c>
    </row>
    <row r="69" spans="1:21" x14ac:dyDescent="0.35">
      <c r="A69" t="s">
        <v>93</v>
      </c>
      <c r="B69" s="2">
        <v>59.87</v>
      </c>
      <c r="C69" s="2">
        <v>65.08</v>
      </c>
      <c r="D69" s="2">
        <v>76.39</v>
      </c>
      <c r="E69" s="2">
        <v>124.81</v>
      </c>
      <c r="F69" s="2">
        <v>11.45</v>
      </c>
      <c r="G69">
        <v>0</v>
      </c>
      <c r="H69">
        <v>2</v>
      </c>
      <c r="I69">
        <v>5</v>
      </c>
      <c r="J69">
        <v>0</v>
      </c>
      <c r="K69">
        <v>1</v>
      </c>
      <c r="L69">
        <v>2</v>
      </c>
      <c r="M69" s="1">
        <f t="shared" si="8"/>
        <v>8.7021880741606772E-2</v>
      </c>
      <c r="N69" s="1">
        <f t="shared" si="9"/>
        <v>0.27593118423250385</v>
      </c>
      <c r="O69" s="1">
        <f t="shared" si="10"/>
        <v>1.0846834808752299</v>
      </c>
      <c r="P69">
        <f t="shared" si="11"/>
        <v>49</v>
      </c>
      <c r="Q69">
        <f t="shared" si="12"/>
        <v>70</v>
      </c>
      <c r="R69">
        <f t="shared" si="13"/>
        <v>116</v>
      </c>
      <c r="S69">
        <f t="shared" si="14"/>
        <v>235</v>
      </c>
      <c r="T69">
        <f t="shared" si="15"/>
        <v>68</v>
      </c>
      <c r="U69" s="1" cm="1">
        <f t="array" ref="U69">MIN(ABS(M69:O69))</f>
        <v>8.7021880741606772E-2</v>
      </c>
    </row>
    <row r="70" spans="1:21" x14ac:dyDescent="0.35">
      <c r="A70" t="s">
        <v>78</v>
      </c>
      <c r="B70" s="2">
        <v>932.63</v>
      </c>
      <c r="C70" s="2">
        <v>545.54</v>
      </c>
      <c r="D70" s="2">
        <v>1222.3900000000001</v>
      </c>
      <c r="E70" s="2">
        <v>5877.29</v>
      </c>
      <c r="F70" s="2">
        <v>7.13</v>
      </c>
      <c r="G70">
        <v>2</v>
      </c>
      <c r="H70">
        <v>10</v>
      </c>
      <c r="I70">
        <v>18</v>
      </c>
      <c r="J70">
        <v>0</v>
      </c>
      <c r="K70">
        <v>2</v>
      </c>
      <c r="L70">
        <v>3</v>
      </c>
      <c r="M70" s="1">
        <f t="shared" si="8"/>
        <v>-0.41505205708587545</v>
      </c>
      <c r="N70" s="1">
        <f t="shared" si="9"/>
        <v>0.31069127092201643</v>
      </c>
      <c r="O70" s="1">
        <f t="shared" si="10"/>
        <v>5.3018453191512176</v>
      </c>
      <c r="P70">
        <f t="shared" si="11"/>
        <v>157</v>
      </c>
      <c r="Q70">
        <f t="shared" si="12"/>
        <v>59</v>
      </c>
      <c r="R70">
        <f t="shared" si="13"/>
        <v>21</v>
      </c>
      <c r="S70">
        <f t="shared" si="14"/>
        <v>237</v>
      </c>
      <c r="T70">
        <f t="shared" si="15"/>
        <v>69</v>
      </c>
      <c r="U70" s="1" cm="1">
        <f t="array" ref="U70">MIN(ABS(M70:O70))</f>
        <v>0.31069127092201643</v>
      </c>
    </row>
    <row r="71" spans="1:21" x14ac:dyDescent="0.35">
      <c r="A71" t="s">
        <v>90</v>
      </c>
      <c r="B71" s="2">
        <v>133.87</v>
      </c>
      <c r="C71" s="2">
        <v>134.09</v>
      </c>
      <c r="D71" s="2">
        <v>170.37</v>
      </c>
      <c r="E71" s="2">
        <v>298.98</v>
      </c>
      <c r="F71" s="2">
        <v>11.96</v>
      </c>
      <c r="G71">
        <v>1</v>
      </c>
      <c r="H71">
        <v>3</v>
      </c>
      <c r="I71">
        <v>5</v>
      </c>
      <c r="J71">
        <v>0</v>
      </c>
      <c r="K71">
        <v>0</v>
      </c>
      <c r="L71">
        <v>2</v>
      </c>
      <c r="M71" s="1">
        <f t="shared" si="8"/>
        <v>1.6433853738702098E-3</v>
      </c>
      <c r="N71" s="1">
        <f t="shared" si="9"/>
        <v>0.27265257339209681</v>
      </c>
      <c r="O71" s="1">
        <f t="shared" si="10"/>
        <v>1.2333607230895645</v>
      </c>
      <c r="P71">
        <f t="shared" si="11"/>
        <v>59</v>
      </c>
      <c r="Q71">
        <f t="shared" si="12"/>
        <v>72</v>
      </c>
      <c r="R71">
        <f t="shared" si="13"/>
        <v>109</v>
      </c>
      <c r="S71">
        <f t="shared" si="14"/>
        <v>240</v>
      </c>
      <c r="T71">
        <f t="shared" si="15"/>
        <v>70</v>
      </c>
      <c r="U71" s="1" cm="1">
        <f t="array" ref="U71">MIN(ABS(M71:O71))</f>
        <v>1.6433853738702098E-3</v>
      </c>
    </row>
    <row r="72" spans="1:21" x14ac:dyDescent="0.35">
      <c r="A72" t="s">
        <v>84</v>
      </c>
      <c r="B72" s="2">
        <v>118.16</v>
      </c>
      <c r="C72" s="2">
        <v>141.99</v>
      </c>
      <c r="D72" s="2">
        <v>153.91</v>
      </c>
      <c r="E72" s="2">
        <v>226.26</v>
      </c>
      <c r="F72" s="2">
        <v>9.77</v>
      </c>
      <c r="G72">
        <v>0</v>
      </c>
      <c r="H72">
        <v>1</v>
      </c>
      <c r="I72">
        <v>5</v>
      </c>
      <c r="J72">
        <v>0</v>
      </c>
      <c r="K72">
        <v>1</v>
      </c>
      <c r="L72">
        <v>2</v>
      </c>
      <c r="M72" s="1">
        <f t="shared" si="8"/>
        <v>0.20167569397427232</v>
      </c>
      <c r="N72" s="1">
        <f t="shared" si="9"/>
        <v>0.30255585646580907</v>
      </c>
      <c r="O72" s="1">
        <f t="shared" si="10"/>
        <v>0.91486120514556535</v>
      </c>
      <c r="P72">
        <f t="shared" si="11"/>
        <v>41</v>
      </c>
      <c r="Q72">
        <f t="shared" si="12"/>
        <v>65</v>
      </c>
      <c r="R72">
        <f t="shared" si="13"/>
        <v>140</v>
      </c>
      <c r="S72">
        <f t="shared" si="14"/>
        <v>246</v>
      </c>
      <c r="T72">
        <f t="shared" si="15"/>
        <v>71</v>
      </c>
      <c r="U72" s="1" cm="1">
        <f t="array" ref="U72">MIN(ABS(M72:O72))</f>
        <v>0.20167569397427232</v>
      </c>
    </row>
    <row r="73" spans="1:21" x14ac:dyDescent="0.35">
      <c r="A73" t="s">
        <v>87</v>
      </c>
      <c r="B73" s="2">
        <v>9.8000000000000007</v>
      </c>
      <c r="C73" s="2">
        <v>11.52</v>
      </c>
      <c r="D73" s="2">
        <v>12.67</v>
      </c>
      <c r="E73" s="2">
        <v>18.98</v>
      </c>
      <c r="F73" s="2">
        <v>12.77</v>
      </c>
      <c r="G73">
        <v>0</v>
      </c>
      <c r="H73">
        <v>1</v>
      </c>
      <c r="I73">
        <v>5</v>
      </c>
      <c r="J73">
        <v>0</v>
      </c>
      <c r="K73">
        <v>0</v>
      </c>
      <c r="L73">
        <v>2</v>
      </c>
      <c r="M73" s="1">
        <f t="shared" si="8"/>
        <v>0.17551020408163254</v>
      </c>
      <c r="N73" s="1">
        <f t="shared" si="9"/>
        <v>0.2928571428571427</v>
      </c>
      <c r="O73" s="1">
        <f t="shared" si="10"/>
        <v>0.93673469387755093</v>
      </c>
      <c r="P73">
        <f t="shared" si="11"/>
        <v>43</v>
      </c>
      <c r="Q73">
        <f t="shared" si="12"/>
        <v>68</v>
      </c>
      <c r="R73">
        <f t="shared" si="13"/>
        <v>137</v>
      </c>
      <c r="S73">
        <f t="shared" si="14"/>
        <v>248</v>
      </c>
      <c r="T73">
        <f t="shared" si="15"/>
        <v>72</v>
      </c>
      <c r="U73" s="1" cm="1">
        <f t="array" ref="U73">MIN(ABS(M73:O73))</f>
        <v>0.17551020408163254</v>
      </c>
    </row>
    <row r="74" spans="1:21" x14ac:dyDescent="0.35">
      <c r="A74" t="s">
        <v>91</v>
      </c>
      <c r="B74" s="2">
        <v>33.479999999999997</v>
      </c>
      <c r="C74" s="2">
        <v>38.94</v>
      </c>
      <c r="D74" s="2">
        <v>42.41</v>
      </c>
      <c r="E74" s="2">
        <v>65.61</v>
      </c>
      <c r="F74" s="2">
        <v>11.73</v>
      </c>
      <c r="G74">
        <v>0</v>
      </c>
      <c r="H74">
        <v>1</v>
      </c>
      <c r="I74">
        <v>5</v>
      </c>
      <c r="J74">
        <v>0</v>
      </c>
      <c r="K74">
        <v>0</v>
      </c>
      <c r="L74">
        <v>2</v>
      </c>
      <c r="M74" s="1">
        <f t="shared" si="8"/>
        <v>0.16308243727598581</v>
      </c>
      <c r="N74" s="1">
        <f t="shared" si="9"/>
        <v>0.26672640382317803</v>
      </c>
      <c r="O74" s="1">
        <f t="shared" si="10"/>
        <v>0.95967741935483897</v>
      </c>
      <c r="P74">
        <f t="shared" si="11"/>
        <v>45</v>
      </c>
      <c r="Q74">
        <f t="shared" si="12"/>
        <v>73</v>
      </c>
      <c r="R74">
        <f t="shared" si="13"/>
        <v>131</v>
      </c>
      <c r="S74">
        <f t="shared" si="14"/>
        <v>249</v>
      </c>
      <c r="T74">
        <f t="shared" si="15"/>
        <v>73</v>
      </c>
      <c r="U74" s="1" cm="1">
        <f t="array" ref="U74">MIN(ABS(M74:O74))</f>
        <v>0.16308243727598581</v>
      </c>
    </row>
    <row r="75" spans="1:21" x14ac:dyDescent="0.35">
      <c r="A75" t="s">
        <v>94</v>
      </c>
      <c r="B75" s="2">
        <v>30.71</v>
      </c>
      <c r="C75" s="2">
        <v>31.43</v>
      </c>
      <c r="D75" s="2">
        <v>38.08</v>
      </c>
      <c r="E75" s="2">
        <v>61.97</v>
      </c>
      <c r="F75" s="2">
        <v>6.57</v>
      </c>
      <c r="G75">
        <v>0</v>
      </c>
      <c r="H75">
        <v>1</v>
      </c>
      <c r="I75">
        <v>5</v>
      </c>
      <c r="J75">
        <v>1</v>
      </c>
      <c r="K75">
        <v>5</v>
      </c>
      <c r="L75">
        <v>9</v>
      </c>
      <c r="M75" s="1">
        <f t="shared" si="8"/>
        <v>2.3445131878866876E-2</v>
      </c>
      <c r="N75" s="1">
        <f t="shared" si="9"/>
        <v>0.23998697492673382</v>
      </c>
      <c r="O75" s="1">
        <f t="shared" si="10"/>
        <v>1.0179094757408009</v>
      </c>
      <c r="P75">
        <f t="shared" si="11"/>
        <v>55</v>
      </c>
      <c r="Q75">
        <f t="shared" si="12"/>
        <v>75</v>
      </c>
      <c r="R75">
        <f t="shared" si="13"/>
        <v>121</v>
      </c>
      <c r="S75">
        <f t="shared" si="14"/>
        <v>251</v>
      </c>
      <c r="T75">
        <f t="shared" si="15"/>
        <v>74</v>
      </c>
      <c r="U75" s="1" cm="1">
        <f t="array" ref="U75">MIN(ABS(M75:O75))</f>
        <v>2.3445131878866876E-2</v>
      </c>
    </row>
    <row r="76" spans="1:21" x14ac:dyDescent="0.35">
      <c r="A76" t="s">
        <v>97</v>
      </c>
      <c r="B76" s="2">
        <v>76.61</v>
      </c>
      <c r="C76" s="2">
        <v>76.19</v>
      </c>
      <c r="D76" s="2">
        <v>93.13</v>
      </c>
      <c r="E76" s="2">
        <v>163.84</v>
      </c>
      <c r="F76" s="2">
        <v>8.59</v>
      </c>
      <c r="G76">
        <v>-3</v>
      </c>
      <c r="H76">
        <v>1</v>
      </c>
      <c r="I76">
        <v>5</v>
      </c>
      <c r="J76">
        <v>0</v>
      </c>
      <c r="K76">
        <v>2</v>
      </c>
      <c r="L76">
        <v>4</v>
      </c>
      <c r="M76" s="1">
        <f t="shared" si="8"/>
        <v>-5.4823130139668441E-3</v>
      </c>
      <c r="N76" s="1">
        <f t="shared" si="9"/>
        <v>0.21563764521602913</v>
      </c>
      <c r="O76" s="1">
        <f t="shared" si="10"/>
        <v>1.138624200496019</v>
      </c>
      <c r="P76">
        <f t="shared" si="11"/>
        <v>60</v>
      </c>
      <c r="Q76">
        <f t="shared" si="12"/>
        <v>78</v>
      </c>
      <c r="R76">
        <f t="shared" si="13"/>
        <v>114</v>
      </c>
      <c r="S76">
        <f t="shared" si="14"/>
        <v>252</v>
      </c>
      <c r="T76">
        <f t="shared" si="15"/>
        <v>75</v>
      </c>
      <c r="U76" s="1" cm="1">
        <f t="array" ref="U76">MIN(ABS(M76:O76))</f>
        <v>5.4823130139668441E-3</v>
      </c>
    </row>
    <row r="77" spans="1:21" x14ac:dyDescent="0.35">
      <c r="A77" t="s">
        <v>89</v>
      </c>
      <c r="B77" s="2">
        <v>16.059999999999999</v>
      </c>
      <c r="C77" s="2">
        <v>21.12</v>
      </c>
      <c r="D77" s="2">
        <v>20.48</v>
      </c>
      <c r="E77" s="2">
        <v>29.76</v>
      </c>
      <c r="F77" s="2">
        <v>11.02</v>
      </c>
      <c r="G77">
        <v>-3</v>
      </c>
      <c r="H77">
        <v>1</v>
      </c>
      <c r="I77">
        <v>5</v>
      </c>
      <c r="J77">
        <v>0</v>
      </c>
      <c r="K77">
        <v>0</v>
      </c>
      <c r="L77">
        <v>2</v>
      </c>
      <c r="M77" s="1">
        <f t="shared" si="8"/>
        <v>0.31506849315068508</v>
      </c>
      <c r="N77" s="1">
        <f t="shared" si="9"/>
        <v>0.27521793275217954</v>
      </c>
      <c r="O77" s="1">
        <f t="shared" si="10"/>
        <v>0.85305105853051089</v>
      </c>
      <c r="P77">
        <f t="shared" si="11"/>
        <v>36</v>
      </c>
      <c r="Q77">
        <f t="shared" si="12"/>
        <v>71</v>
      </c>
      <c r="R77">
        <f t="shared" si="13"/>
        <v>148</v>
      </c>
      <c r="S77">
        <f t="shared" si="14"/>
        <v>255</v>
      </c>
      <c r="T77">
        <f t="shared" si="15"/>
        <v>76</v>
      </c>
      <c r="U77" s="1" cm="1">
        <f t="array" ref="U77">MIN(ABS(M77:O77))</f>
        <v>0.27521793275217954</v>
      </c>
    </row>
    <row r="78" spans="1:21" x14ac:dyDescent="0.35">
      <c r="A78" t="s">
        <v>99</v>
      </c>
      <c r="B78" s="2">
        <v>74.13</v>
      </c>
      <c r="C78" s="2">
        <v>45.59</v>
      </c>
      <c r="D78" s="2">
        <v>86.69</v>
      </c>
      <c r="E78" s="2">
        <v>415.04</v>
      </c>
      <c r="F78" s="2">
        <v>11.13</v>
      </c>
      <c r="G78">
        <v>2</v>
      </c>
      <c r="H78">
        <v>10</v>
      </c>
      <c r="I78">
        <v>18</v>
      </c>
      <c r="J78">
        <v>0</v>
      </c>
      <c r="K78">
        <v>1</v>
      </c>
      <c r="L78">
        <v>2</v>
      </c>
      <c r="M78" s="1">
        <f t="shared" si="8"/>
        <v>-0.38499932550924043</v>
      </c>
      <c r="N78" s="1">
        <f t="shared" si="9"/>
        <v>0.1694320787805208</v>
      </c>
      <c r="O78" s="1">
        <f t="shared" si="10"/>
        <v>4.5988128962633219</v>
      </c>
      <c r="P78">
        <f t="shared" si="11"/>
        <v>146</v>
      </c>
      <c r="Q78">
        <f t="shared" si="12"/>
        <v>80</v>
      </c>
      <c r="R78">
        <f t="shared" si="13"/>
        <v>29</v>
      </c>
      <c r="S78">
        <f t="shared" si="14"/>
        <v>255</v>
      </c>
      <c r="T78">
        <f t="shared" si="15"/>
        <v>76</v>
      </c>
      <c r="U78" s="1" cm="1">
        <f t="array" ref="U78">MIN(ABS(M78:O78))</f>
        <v>0.1694320787805208</v>
      </c>
    </row>
    <row r="79" spans="1:21" x14ac:dyDescent="0.35">
      <c r="A79" t="s">
        <v>100</v>
      </c>
      <c r="B79" s="2">
        <v>106.18</v>
      </c>
      <c r="C79" s="2">
        <v>72.52</v>
      </c>
      <c r="D79" s="2">
        <v>124.06</v>
      </c>
      <c r="E79" s="2">
        <v>366.46</v>
      </c>
      <c r="F79" s="2">
        <v>8.94</v>
      </c>
      <c r="G79">
        <v>2</v>
      </c>
      <c r="H79">
        <v>7</v>
      </c>
      <c r="I79">
        <v>12</v>
      </c>
      <c r="J79">
        <v>0</v>
      </c>
      <c r="K79">
        <v>1</v>
      </c>
      <c r="L79">
        <v>2</v>
      </c>
      <c r="M79" s="1">
        <f t="shared" si="8"/>
        <v>-0.31700885289131675</v>
      </c>
      <c r="N79" s="1">
        <f t="shared" si="9"/>
        <v>0.16839329440572604</v>
      </c>
      <c r="O79" s="1">
        <f t="shared" si="10"/>
        <v>2.4513090977585228</v>
      </c>
      <c r="P79">
        <f t="shared" si="11"/>
        <v>123</v>
      </c>
      <c r="Q79">
        <f t="shared" si="12"/>
        <v>81</v>
      </c>
      <c r="R79">
        <f t="shared" si="13"/>
        <v>52</v>
      </c>
      <c r="S79">
        <f t="shared" si="14"/>
        <v>256</v>
      </c>
      <c r="T79">
        <f t="shared" si="15"/>
        <v>78</v>
      </c>
      <c r="U79" s="1" cm="1">
        <f t="array" ref="U79">MIN(ABS(M79:O79))</f>
        <v>0.16839329440572604</v>
      </c>
    </row>
    <row r="80" spans="1:21" x14ac:dyDescent="0.35">
      <c r="A80" t="s">
        <v>96</v>
      </c>
      <c r="B80" s="2">
        <v>37.07</v>
      </c>
      <c r="C80" s="2">
        <v>32.32</v>
      </c>
      <c r="D80" s="2">
        <v>45.25</v>
      </c>
      <c r="E80" s="2">
        <v>84.62</v>
      </c>
      <c r="F80" s="2">
        <v>7.57</v>
      </c>
      <c r="G80">
        <v>1</v>
      </c>
      <c r="H80">
        <v>4</v>
      </c>
      <c r="I80">
        <v>7</v>
      </c>
      <c r="J80">
        <v>1</v>
      </c>
      <c r="K80">
        <v>3</v>
      </c>
      <c r="L80">
        <v>5</v>
      </c>
      <c r="M80" s="1">
        <f t="shared" si="8"/>
        <v>-0.1281359589964931</v>
      </c>
      <c r="N80" s="1">
        <f t="shared" si="9"/>
        <v>0.22066360938764507</v>
      </c>
      <c r="O80" s="1">
        <f t="shared" si="10"/>
        <v>1.2827083895333153</v>
      </c>
      <c r="P80">
        <f t="shared" si="11"/>
        <v>78</v>
      </c>
      <c r="Q80">
        <f t="shared" si="12"/>
        <v>77</v>
      </c>
      <c r="R80">
        <f t="shared" si="13"/>
        <v>107</v>
      </c>
      <c r="S80">
        <f t="shared" si="14"/>
        <v>262</v>
      </c>
      <c r="T80">
        <f t="shared" si="15"/>
        <v>79</v>
      </c>
      <c r="U80" s="1" cm="1">
        <f t="array" ref="U80">MIN(ABS(M80:O80))</f>
        <v>0.1281359589964931</v>
      </c>
    </row>
    <row r="81" spans="1:21" x14ac:dyDescent="0.35">
      <c r="A81" t="s">
        <v>102</v>
      </c>
      <c r="B81" s="2">
        <v>44.72</v>
      </c>
      <c r="C81" s="2">
        <v>33.11</v>
      </c>
      <c r="D81" s="2">
        <v>51.72</v>
      </c>
      <c r="E81" s="2">
        <v>125.73</v>
      </c>
      <c r="F81" s="2">
        <v>10.77</v>
      </c>
      <c r="G81">
        <v>1</v>
      </c>
      <c r="H81">
        <v>5</v>
      </c>
      <c r="I81">
        <v>9</v>
      </c>
      <c r="J81">
        <v>0</v>
      </c>
      <c r="K81">
        <v>0</v>
      </c>
      <c r="L81">
        <v>2</v>
      </c>
      <c r="M81" s="1">
        <f t="shared" si="8"/>
        <v>-0.25961538461538458</v>
      </c>
      <c r="N81" s="1">
        <f t="shared" si="9"/>
        <v>0.15652951699463324</v>
      </c>
      <c r="O81" s="1">
        <f t="shared" si="10"/>
        <v>1.8114937388193204</v>
      </c>
      <c r="P81">
        <f t="shared" si="11"/>
        <v>105</v>
      </c>
      <c r="Q81">
        <f t="shared" si="12"/>
        <v>83</v>
      </c>
      <c r="R81">
        <f t="shared" si="13"/>
        <v>77</v>
      </c>
      <c r="S81">
        <f t="shared" si="14"/>
        <v>265</v>
      </c>
      <c r="T81">
        <f t="shared" si="15"/>
        <v>80</v>
      </c>
      <c r="U81" s="1" cm="1">
        <f t="array" ref="U81">MIN(ABS(M81:O81))</f>
        <v>0.15652951699463324</v>
      </c>
    </row>
    <row r="82" spans="1:21" x14ac:dyDescent="0.35">
      <c r="A82" t="s">
        <v>112</v>
      </c>
      <c r="B82" s="2">
        <v>28.64</v>
      </c>
      <c r="C82" s="2">
        <v>20.57</v>
      </c>
      <c r="D82" s="2">
        <v>31.25</v>
      </c>
      <c r="E82" s="2">
        <v>84.13</v>
      </c>
      <c r="F82" s="2">
        <v>12.58</v>
      </c>
      <c r="G82">
        <v>1</v>
      </c>
      <c r="H82">
        <v>6</v>
      </c>
      <c r="I82">
        <v>10</v>
      </c>
      <c r="J82">
        <v>0</v>
      </c>
      <c r="K82">
        <v>1</v>
      </c>
      <c r="L82">
        <v>2</v>
      </c>
      <c r="M82" s="1">
        <f t="shared" si="8"/>
        <v>-0.28177374301675973</v>
      </c>
      <c r="N82" s="1">
        <f t="shared" si="9"/>
        <v>9.113128491620115E-2</v>
      </c>
      <c r="O82" s="1">
        <f t="shared" si="10"/>
        <v>1.9375</v>
      </c>
      <c r="P82">
        <f t="shared" si="11"/>
        <v>111</v>
      </c>
      <c r="Q82">
        <f t="shared" si="12"/>
        <v>93</v>
      </c>
      <c r="R82">
        <f t="shared" si="13"/>
        <v>69</v>
      </c>
      <c r="S82">
        <f t="shared" si="14"/>
        <v>273</v>
      </c>
      <c r="T82">
        <f t="shared" si="15"/>
        <v>81</v>
      </c>
      <c r="U82" s="1" cm="1">
        <f t="array" ref="U82">MIN(ABS(M82:O82))</f>
        <v>9.113128491620115E-2</v>
      </c>
    </row>
    <row r="83" spans="1:21" x14ac:dyDescent="0.35">
      <c r="A83" t="s">
        <v>110</v>
      </c>
      <c r="B83" s="2">
        <v>86.77</v>
      </c>
      <c r="C83" s="2">
        <v>69.3</v>
      </c>
      <c r="D83" s="2">
        <v>96.43</v>
      </c>
      <c r="E83" s="2">
        <v>221.25</v>
      </c>
      <c r="F83" s="2">
        <v>11.96</v>
      </c>
      <c r="G83">
        <v>1</v>
      </c>
      <c r="H83">
        <v>5</v>
      </c>
      <c r="I83">
        <v>9</v>
      </c>
      <c r="J83">
        <v>0</v>
      </c>
      <c r="K83">
        <v>0</v>
      </c>
      <c r="L83">
        <v>2</v>
      </c>
      <c r="M83" s="1">
        <f t="shared" si="8"/>
        <v>-0.20133686758096114</v>
      </c>
      <c r="N83" s="1">
        <f t="shared" si="9"/>
        <v>0.11132880027659353</v>
      </c>
      <c r="O83" s="1">
        <f t="shared" si="10"/>
        <v>1.5498444162729057</v>
      </c>
      <c r="P83">
        <f t="shared" si="11"/>
        <v>98</v>
      </c>
      <c r="Q83">
        <f t="shared" si="12"/>
        <v>91</v>
      </c>
      <c r="R83">
        <f t="shared" si="13"/>
        <v>89</v>
      </c>
      <c r="S83">
        <f t="shared" si="14"/>
        <v>278</v>
      </c>
      <c r="T83">
        <f t="shared" si="15"/>
        <v>82</v>
      </c>
      <c r="U83" s="1" cm="1">
        <f t="array" ref="U83">MIN(ABS(M83:O83))</f>
        <v>0.11132880027659353</v>
      </c>
    </row>
    <row r="84" spans="1:21" x14ac:dyDescent="0.35">
      <c r="A84" t="s">
        <v>111</v>
      </c>
      <c r="B84" s="2">
        <v>232.05</v>
      </c>
      <c r="C84" s="2">
        <v>169.03</v>
      </c>
      <c r="D84" s="2">
        <v>256.86</v>
      </c>
      <c r="E84" s="2">
        <v>633.74</v>
      </c>
      <c r="F84" s="2">
        <v>11</v>
      </c>
      <c r="G84">
        <v>1</v>
      </c>
      <c r="H84">
        <v>6</v>
      </c>
      <c r="I84">
        <v>10</v>
      </c>
      <c r="J84">
        <v>0</v>
      </c>
      <c r="K84">
        <v>1</v>
      </c>
      <c r="L84">
        <v>2</v>
      </c>
      <c r="M84" s="1">
        <f t="shared" si="8"/>
        <v>-0.27157940099116573</v>
      </c>
      <c r="N84" s="1">
        <f t="shared" si="9"/>
        <v>0.1069166127989658</v>
      </c>
      <c r="O84" s="1">
        <f t="shared" si="10"/>
        <v>1.7310493428140488</v>
      </c>
      <c r="P84">
        <f t="shared" si="11"/>
        <v>108</v>
      </c>
      <c r="Q84">
        <f t="shared" si="12"/>
        <v>92</v>
      </c>
      <c r="R84">
        <f t="shared" si="13"/>
        <v>81</v>
      </c>
      <c r="S84">
        <f t="shared" si="14"/>
        <v>281</v>
      </c>
      <c r="T84">
        <f t="shared" si="15"/>
        <v>83</v>
      </c>
      <c r="U84" s="1" cm="1">
        <f t="array" ref="U84">MIN(ABS(M84:O84))</f>
        <v>0.1069166127989658</v>
      </c>
    </row>
    <row r="85" spans="1:21" x14ac:dyDescent="0.35">
      <c r="A85" t="s">
        <v>106</v>
      </c>
      <c r="B85" s="2">
        <v>124.09</v>
      </c>
      <c r="C85" s="2">
        <v>85.98</v>
      </c>
      <c r="D85" s="2">
        <v>141.61000000000001</v>
      </c>
      <c r="E85" s="2">
        <v>350.75</v>
      </c>
      <c r="F85" s="2">
        <v>6</v>
      </c>
      <c r="G85">
        <v>1</v>
      </c>
      <c r="H85">
        <v>5</v>
      </c>
      <c r="I85">
        <v>10</v>
      </c>
      <c r="J85">
        <v>1</v>
      </c>
      <c r="K85">
        <v>5</v>
      </c>
      <c r="L85">
        <v>9</v>
      </c>
      <c r="M85" s="1">
        <f t="shared" si="8"/>
        <v>-0.30711580304617614</v>
      </c>
      <c r="N85" s="1">
        <f t="shared" si="9"/>
        <v>0.14118784753001856</v>
      </c>
      <c r="O85" s="1">
        <f t="shared" si="10"/>
        <v>1.8265774840841322</v>
      </c>
      <c r="P85">
        <f t="shared" si="11"/>
        <v>119</v>
      </c>
      <c r="Q85">
        <f t="shared" si="12"/>
        <v>87</v>
      </c>
      <c r="R85">
        <f t="shared" si="13"/>
        <v>76</v>
      </c>
      <c r="S85">
        <f t="shared" si="14"/>
        <v>282</v>
      </c>
      <c r="T85">
        <f t="shared" si="15"/>
        <v>84</v>
      </c>
      <c r="U85" s="1" cm="1">
        <f t="array" ref="U85">MIN(ABS(M85:O85))</f>
        <v>0.14118784753001856</v>
      </c>
    </row>
    <row r="86" spans="1:21" x14ac:dyDescent="0.35">
      <c r="A86" t="s">
        <v>98</v>
      </c>
      <c r="B86" s="2">
        <v>181.48</v>
      </c>
      <c r="C86" s="2">
        <v>98.44</v>
      </c>
      <c r="D86" s="2">
        <v>215.13</v>
      </c>
      <c r="E86" s="2">
        <v>1025.81</v>
      </c>
      <c r="F86" s="2">
        <v>7.06</v>
      </c>
      <c r="G86">
        <v>2</v>
      </c>
      <c r="H86">
        <v>10</v>
      </c>
      <c r="I86">
        <v>18</v>
      </c>
      <c r="J86">
        <v>1</v>
      </c>
      <c r="K86">
        <v>3</v>
      </c>
      <c r="L86">
        <v>6</v>
      </c>
      <c r="M86" s="1">
        <f t="shared" si="8"/>
        <v>-0.45757108221291598</v>
      </c>
      <c r="N86" s="1">
        <f t="shared" si="9"/>
        <v>0.18541988097862028</v>
      </c>
      <c r="O86" s="1">
        <f t="shared" si="10"/>
        <v>4.6524685915803392</v>
      </c>
      <c r="P86">
        <f t="shared" si="11"/>
        <v>178</v>
      </c>
      <c r="Q86">
        <f t="shared" si="12"/>
        <v>79</v>
      </c>
      <c r="R86">
        <f t="shared" si="13"/>
        <v>26</v>
      </c>
      <c r="S86">
        <f t="shared" si="14"/>
        <v>283</v>
      </c>
      <c r="T86">
        <f t="shared" si="15"/>
        <v>85</v>
      </c>
      <c r="U86" s="1" cm="1">
        <f t="array" ref="U86">MIN(ABS(M86:O86))</f>
        <v>0.18541988097862028</v>
      </c>
    </row>
    <row r="87" spans="1:21" x14ac:dyDescent="0.35">
      <c r="A87" t="s">
        <v>108</v>
      </c>
      <c r="B87" s="2">
        <v>90.62</v>
      </c>
      <c r="C87" s="2">
        <v>91.8</v>
      </c>
      <c r="D87" s="2">
        <v>101.31</v>
      </c>
      <c r="E87" s="2">
        <v>175.58</v>
      </c>
      <c r="F87" s="2">
        <v>11.32</v>
      </c>
      <c r="G87">
        <v>-1</v>
      </c>
      <c r="H87">
        <v>1</v>
      </c>
      <c r="I87">
        <v>5</v>
      </c>
      <c r="J87">
        <v>0</v>
      </c>
      <c r="K87">
        <v>1</v>
      </c>
      <c r="L87">
        <v>2</v>
      </c>
      <c r="M87" s="1">
        <f t="shared" si="8"/>
        <v>1.3021408077686925E-2</v>
      </c>
      <c r="N87" s="1">
        <f t="shared" si="9"/>
        <v>0.11796512911057166</v>
      </c>
      <c r="O87" s="1">
        <f t="shared" si="10"/>
        <v>0.93754138159346723</v>
      </c>
      <c r="P87">
        <f t="shared" si="11"/>
        <v>58</v>
      </c>
      <c r="Q87">
        <f t="shared" si="12"/>
        <v>89</v>
      </c>
      <c r="R87">
        <f t="shared" si="13"/>
        <v>136</v>
      </c>
      <c r="S87">
        <f t="shared" si="14"/>
        <v>283</v>
      </c>
      <c r="T87">
        <f t="shared" si="15"/>
        <v>85</v>
      </c>
      <c r="U87" s="1" cm="1">
        <f t="array" ref="U87">MIN(ABS(M87:O87))</f>
        <v>1.3021408077686925E-2</v>
      </c>
    </row>
    <row r="88" spans="1:21" x14ac:dyDescent="0.35">
      <c r="A88" t="s">
        <v>103</v>
      </c>
      <c r="B88" s="2">
        <v>95.02</v>
      </c>
      <c r="C88" s="2">
        <v>53.41</v>
      </c>
      <c r="D88" s="2">
        <v>109.89</v>
      </c>
      <c r="E88" s="2">
        <v>527.57000000000005</v>
      </c>
      <c r="F88" s="2">
        <v>10.26</v>
      </c>
      <c r="G88">
        <v>2</v>
      </c>
      <c r="H88">
        <v>10</v>
      </c>
      <c r="I88">
        <v>18</v>
      </c>
      <c r="J88">
        <v>0</v>
      </c>
      <c r="K88">
        <v>0</v>
      </c>
      <c r="L88">
        <v>2</v>
      </c>
      <c r="M88" s="1">
        <f t="shared" si="8"/>
        <v>-0.4379078088823406</v>
      </c>
      <c r="N88" s="1">
        <f t="shared" si="9"/>
        <v>0.15649336981688067</v>
      </c>
      <c r="O88" s="1">
        <f t="shared" si="10"/>
        <v>4.5521995369395922</v>
      </c>
      <c r="P88">
        <f t="shared" si="11"/>
        <v>170</v>
      </c>
      <c r="Q88">
        <f t="shared" si="12"/>
        <v>84</v>
      </c>
      <c r="R88">
        <f t="shared" si="13"/>
        <v>30</v>
      </c>
      <c r="S88">
        <f t="shared" si="14"/>
        <v>284</v>
      </c>
      <c r="T88">
        <f t="shared" si="15"/>
        <v>87</v>
      </c>
      <c r="U88" s="1" cm="1">
        <f t="array" ref="U88">MIN(ABS(M88:O88))</f>
        <v>0.15649336981688067</v>
      </c>
    </row>
    <row r="89" spans="1:21" x14ac:dyDescent="0.35">
      <c r="A89" t="s">
        <v>105</v>
      </c>
      <c r="B89" s="2">
        <v>61.14</v>
      </c>
      <c r="C89" s="2">
        <v>71.209999999999994</v>
      </c>
      <c r="D89" s="2">
        <v>69.97</v>
      </c>
      <c r="E89" s="2">
        <v>106.33</v>
      </c>
      <c r="F89" s="2">
        <v>11.76</v>
      </c>
      <c r="G89">
        <v>-3</v>
      </c>
      <c r="H89">
        <v>1</v>
      </c>
      <c r="I89">
        <v>5</v>
      </c>
      <c r="J89">
        <v>0</v>
      </c>
      <c r="K89">
        <v>0</v>
      </c>
      <c r="L89">
        <v>2</v>
      </c>
      <c r="M89" s="1">
        <f t="shared" si="8"/>
        <v>0.1647039581288845</v>
      </c>
      <c r="N89" s="1">
        <f t="shared" si="9"/>
        <v>0.14442263657180243</v>
      </c>
      <c r="O89" s="1">
        <f t="shared" si="10"/>
        <v>0.73912332351979071</v>
      </c>
      <c r="P89">
        <f t="shared" si="11"/>
        <v>44</v>
      </c>
      <c r="Q89">
        <f t="shared" si="12"/>
        <v>86</v>
      </c>
      <c r="R89">
        <f t="shared" si="13"/>
        <v>156</v>
      </c>
      <c r="S89">
        <f t="shared" si="14"/>
        <v>286</v>
      </c>
      <c r="T89">
        <f t="shared" si="15"/>
        <v>88</v>
      </c>
      <c r="U89" s="1" cm="1">
        <f t="array" ref="U89">MIN(ABS(M89:O89))</f>
        <v>0.14442263657180243</v>
      </c>
    </row>
    <row r="90" spans="1:21" x14ac:dyDescent="0.35">
      <c r="A90" t="s">
        <v>85</v>
      </c>
      <c r="B90" s="2">
        <v>109.13</v>
      </c>
      <c r="C90" s="2">
        <v>132.69</v>
      </c>
      <c r="D90" s="2">
        <v>141.96</v>
      </c>
      <c r="E90" s="2">
        <v>161.30000000000001</v>
      </c>
      <c r="F90" s="2">
        <v>9.85</v>
      </c>
      <c r="G90">
        <v>0</v>
      </c>
      <c r="H90">
        <v>1</v>
      </c>
      <c r="I90">
        <v>5</v>
      </c>
      <c r="J90">
        <v>1</v>
      </c>
      <c r="K90">
        <v>5</v>
      </c>
      <c r="L90">
        <v>9</v>
      </c>
      <c r="M90" s="1">
        <f t="shared" si="8"/>
        <v>0.21588930633189785</v>
      </c>
      <c r="N90" s="1">
        <f t="shared" si="9"/>
        <v>0.30083386786401545</v>
      </c>
      <c r="O90" s="1">
        <f t="shared" si="10"/>
        <v>0.47805369742508952</v>
      </c>
      <c r="P90">
        <f t="shared" si="11"/>
        <v>40</v>
      </c>
      <c r="Q90">
        <f t="shared" si="12"/>
        <v>66</v>
      </c>
      <c r="R90">
        <f t="shared" si="13"/>
        <v>181</v>
      </c>
      <c r="S90">
        <f t="shared" si="14"/>
        <v>287</v>
      </c>
      <c r="T90">
        <f t="shared" si="15"/>
        <v>89</v>
      </c>
      <c r="U90" s="1" cm="1">
        <f t="array" ref="U90">MIN(ABS(M90:O90))</f>
        <v>0.21588930633189785</v>
      </c>
    </row>
    <row r="91" spans="1:21" x14ac:dyDescent="0.35">
      <c r="A91" t="s">
        <v>101</v>
      </c>
      <c r="B91" s="2">
        <v>42.26</v>
      </c>
      <c r="C91" s="2">
        <v>40.67</v>
      </c>
      <c r="D91" s="2">
        <v>49.02</v>
      </c>
      <c r="E91" s="2">
        <v>78.81</v>
      </c>
      <c r="F91" s="2">
        <v>11.13</v>
      </c>
      <c r="G91">
        <v>1</v>
      </c>
      <c r="H91">
        <v>2</v>
      </c>
      <c r="I91">
        <v>5</v>
      </c>
      <c r="J91">
        <v>0</v>
      </c>
      <c r="K91">
        <v>1</v>
      </c>
      <c r="L91">
        <v>2</v>
      </c>
      <c r="M91" s="1">
        <f t="shared" si="8"/>
        <v>-3.7624230951254001E-2</v>
      </c>
      <c r="N91" s="1">
        <f t="shared" si="9"/>
        <v>0.15996213913866564</v>
      </c>
      <c r="O91" s="1">
        <f t="shared" si="10"/>
        <v>0.86488405111216293</v>
      </c>
      <c r="P91">
        <f t="shared" si="11"/>
        <v>65</v>
      </c>
      <c r="Q91">
        <f t="shared" si="12"/>
        <v>82</v>
      </c>
      <c r="R91">
        <f t="shared" si="13"/>
        <v>144</v>
      </c>
      <c r="S91">
        <f t="shared" si="14"/>
        <v>291</v>
      </c>
      <c r="T91">
        <f t="shared" si="15"/>
        <v>90</v>
      </c>
      <c r="U91" s="1" cm="1">
        <f t="array" ref="U91">MIN(ABS(M91:O91))</f>
        <v>3.7624230951254001E-2</v>
      </c>
    </row>
    <row r="92" spans="1:21" x14ac:dyDescent="0.35">
      <c r="A92" t="s">
        <v>109</v>
      </c>
      <c r="B92" s="2">
        <v>49.05</v>
      </c>
      <c r="C92" s="2">
        <v>51.71</v>
      </c>
      <c r="D92" s="2">
        <v>54.57</v>
      </c>
      <c r="E92" s="2">
        <v>85.83</v>
      </c>
      <c r="F92" s="2">
        <v>12.46</v>
      </c>
      <c r="G92">
        <v>-1</v>
      </c>
      <c r="H92">
        <v>1</v>
      </c>
      <c r="I92">
        <v>5</v>
      </c>
      <c r="J92">
        <v>0</v>
      </c>
      <c r="K92">
        <v>0</v>
      </c>
      <c r="L92">
        <v>2</v>
      </c>
      <c r="M92" s="1">
        <f t="shared" si="8"/>
        <v>5.4230377166156973E-2</v>
      </c>
      <c r="N92" s="1">
        <f t="shared" si="9"/>
        <v>0.11253822629969434</v>
      </c>
      <c r="O92" s="1">
        <f t="shared" si="10"/>
        <v>0.74984709480122325</v>
      </c>
      <c r="P92">
        <f t="shared" si="11"/>
        <v>52</v>
      </c>
      <c r="Q92">
        <f t="shared" si="12"/>
        <v>90</v>
      </c>
      <c r="R92">
        <f t="shared" si="13"/>
        <v>154</v>
      </c>
      <c r="S92">
        <f t="shared" si="14"/>
        <v>296</v>
      </c>
      <c r="T92">
        <f t="shared" si="15"/>
        <v>91</v>
      </c>
      <c r="U92" s="1" cm="1">
        <f t="array" ref="U92">MIN(ABS(M92:O92))</f>
        <v>5.4230377166156973E-2</v>
      </c>
    </row>
    <row r="93" spans="1:21" x14ac:dyDescent="0.35">
      <c r="A93" t="s">
        <v>115</v>
      </c>
      <c r="B93" s="2">
        <v>337.07</v>
      </c>
      <c r="C93" s="2">
        <v>187.84</v>
      </c>
      <c r="D93" s="2">
        <v>361.4</v>
      </c>
      <c r="E93" s="2">
        <v>1780.04</v>
      </c>
      <c r="F93" s="2">
        <v>13.67</v>
      </c>
      <c r="G93">
        <v>2</v>
      </c>
      <c r="H93">
        <v>7</v>
      </c>
      <c r="I93">
        <v>13</v>
      </c>
      <c r="J93">
        <v>0</v>
      </c>
      <c r="K93">
        <v>0</v>
      </c>
      <c r="L93">
        <v>2</v>
      </c>
      <c r="M93" s="1">
        <f t="shared" si="8"/>
        <v>-0.44272702999376978</v>
      </c>
      <c r="N93" s="1">
        <f t="shared" si="9"/>
        <v>7.2180852641884341E-2</v>
      </c>
      <c r="O93" s="1">
        <f t="shared" si="10"/>
        <v>4.2809208769691756</v>
      </c>
      <c r="P93">
        <f t="shared" si="11"/>
        <v>172</v>
      </c>
      <c r="Q93">
        <f t="shared" si="12"/>
        <v>96</v>
      </c>
      <c r="R93">
        <f t="shared" si="13"/>
        <v>31</v>
      </c>
      <c r="S93">
        <f t="shared" si="14"/>
        <v>299</v>
      </c>
      <c r="T93">
        <f t="shared" si="15"/>
        <v>92</v>
      </c>
      <c r="U93" s="1" cm="1">
        <f t="array" ref="U93">MIN(ABS(M93:O93))</f>
        <v>7.2180852641884341E-2</v>
      </c>
    </row>
    <row r="94" spans="1:21" x14ac:dyDescent="0.35">
      <c r="A94" t="s">
        <v>104</v>
      </c>
      <c r="B94" s="2">
        <v>765.7</v>
      </c>
      <c r="C94" s="2">
        <v>405.34</v>
      </c>
      <c r="D94" s="2">
        <v>876.79</v>
      </c>
      <c r="E94" s="2">
        <v>3937.33</v>
      </c>
      <c r="F94" s="2">
        <v>7.41</v>
      </c>
      <c r="G94">
        <v>2</v>
      </c>
      <c r="H94">
        <v>10</v>
      </c>
      <c r="I94">
        <v>17</v>
      </c>
      <c r="J94">
        <v>0</v>
      </c>
      <c r="K94">
        <v>2</v>
      </c>
      <c r="L94">
        <v>3</v>
      </c>
      <c r="M94" s="1">
        <f t="shared" si="8"/>
        <v>-0.47062818336162993</v>
      </c>
      <c r="N94" s="1">
        <f t="shared" si="9"/>
        <v>0.1450829306516912</v>
      </c>
      <c r="O94" s="1">
        <f t="shared" si="10"/>
        <v>4.1421313830481905</v>
      </c>
      <c r="P94">
        <f t="shared" si="11"/>
        <v>184</v>
      </c>
      <c r="Q94">
        <f t="shared" si="12"/>
        <v>85</v>
      </c>
      <c r="R94">
        <f t="shared" si="13"/>
        <v>32</v>
      </c>
      <c r="S94">
        <f t="shared" si="14"/>
        <v>301</v>
      </c>
      <c r="T94">
        <f t="shared" si="15"/>
        <v>93</v>
      </c>
      <c r="U94" s="1" cm="1">
        <f t="array" ref="U94">MIN(ABS(M94:O94))</f>
        <v>0.1450829306516912</v>
      </c>
    </row>
    <row r="95" spans="1:21" x14ac:dyDescent="0.35">
      <c r="A95" t="s">
        <v>107</v>
      </c>
      <c r="B95" s="2">
        <v>24.19</v>
      </c>
      <c r="C95" s="2">
        <v>24.75</v>
      </c>
      <c r="D95" s="2">
        <v>27.58</v>
      </c>
      <c r="E95" s="2">
        <v>41.95</v>
      </c>
      <c r="F95" s="2">
        <v>15.55</v>
      </c>
      <c r="G95">
        <v>-3</v>
      </c>
      <c r="H95">
        <v>1</v>
      </c>
      <c r="I95">
        <v>5</v>
      </c>
      <c r="J95">
        <v>0</v>
      </c>
      <c r="K95">
        <v>1</v>
      </c>
      <c r="L95">
        <v>2</v>
      </c>
      <c r="M95" s="1">
        <f t="shared" si="8"/>
        <v>2.315006200909453E-2</v>
      </c>
      <c r="N95" s="1">
        <f t="shared" si="9"/>
        <v>0.14014055394791214</v>
      </c>
      <c r="O95" s="1">
        <f t="shared" si="10"/>
        <v>0.73418768085985953</v>
      </c>
      <c r="P95">
        <f t="shared" si="11"/>
        <v>56</v>
      </c>
      <c r="Q95">
        <f t="shared" si="12"/>
        <v>88</v>
      </c>
      <c r="R95">
        <f t="shared" si="13"/>
        <v>159</v>
      </c>
      <c r="S95">
        <f t="shared" si="14"/>
        <v>303</v>
      </c>
      <c r="T95">
        <f t="shared" si="15"/>
        <v>94</v>
      </c>
      <c r="U95" s="1" cm="1">
        <f t="array" ref="U95">MIN(ABS(M95:O95))</f>
        <v>2.315006200909453E-2</v>
      </c>
    </row>
    <row r="96" spans="1:21" x14ac:dyDescent="0.35">
      <c r="A96" t="s">
        <v>117</v>
      </c>
      <c r="B96" s="2">
        <v>5537.36</v>
      </c>
      <c r="C96" s="2">
        <v>3664.75</v>
      </c>
      <c r="D96" s="2">
        <v>5929.76</v>
      </c>
      <c r="E96" s="2">
        <v>13985.04</v>
      </c>
      <c r="F96" s="2">
        <v>6.13</v>
      </c>
      <c r="G96">
        <v>1</v>
      </c>
      <c r="H96">
        <v>5</v>
      </c>
      <c r="I96">
        <v>9</v>
      </c>
      <c r="J96">
        <v>1</v>
      </c>
      <c r="K96">
        <v>5</v>
      </c>
      <c r="L96">
        <v>9</v>
      </c>
      <c r="M96" s="1">
        <f t="shared" si="8"/>
        <v>-0.33817739861594687</v>
      </c>
      <c r="N96" s="1">
        <f t="shared" si="9"/>
        <v>7.086409408093397E-2</v>
      </c>
      <c r="O96" s="1">
        <f t="shared" si="10"/>
        <v>1.5255789762630569</v>
      </c>
      <c r="P96">
        <f t="shared" si="11"/>
        <v>129</v>
      </c>
      <c r="Q96">
        <f t="shared" si="12"/>
        <v>98</v>
      </c>
      <c r="R96">
        <f t="shared" si="13"/>
        <v>91</v>
      </c>
      <c r="S96">
        <f t="shared" si="14"/>
        <v>318</v>
      </c>
      <c r="T96">
        <f t="shared" si="15"/>
        <v>95</v>
      </c>
      <c r="U96" s="1" cm="1">
        <f t="array" ref="U96">MIN(ABS(M96:O96))</f>
        <v>7.086409408093397E-2</v>
      </c>
    </row>
    <row r="97" spans="1:21" x14ac:dyDescent="0.35">
      <c r="A97" t="s">
        <v>116</v>
      </c>
      <c r="B97" s="2">
        <v>89.06</v>
      </c>
      <c r="C97" s="2">
        <v>79.75</v>
      </c>
      <c r="D97" s="2">
        <v>95.48</v>
      </c>
      <c r="E97" s="2">
        <v>157.75</v>
      </c>
      <c r="F97" s="2">
        <v>6.46</v>
      </c>
      <c r="G97">
        <v>0</v>
      </c>
      <c r="H97">
        <v>1</v>
      </c>
      <c r="I97">
        <v>5</v>
      </c>
      <c r="J97">
        <v>1</v>
      </c>
      <c r="K97">
        <v>3</v>
      </c>
      <c r="L97">
        <v>5</v>
      </c>
      <c r="M97" s="1">
        <f t="shared" si="8"/>
        <v>-0.10453626768470692</v>
      </c>
      <c r="N97" s="1">
        <f t="shared" si="9"/>
        <v>7.2086233999550942E-2</v>
      </c>
      <c r="O97" s="1">
        <f t="shared" si="10"/>
        <v>0.77127779025376153</v>
      </c>
      <c r="P97">
        <f t="shared" si="11"/>
        <v>73</v>
      </c>
      <c r="Q97">
        <f t="shared" si="12"/>
        <v>97</v>
      </c>
      <c r="R97">
        <f t="shared" si="13"/>
        <v>152</v>
      </c>
      <c r="S97">
        <f t="shared" si="14"/>
        <v>322</v>
      </c>
      <c r="T97">
        <f t="shared" si="15"/>
        <v>96</v>
      </c>
      <c r="U97" s="1" cm="1">
        <f t="array" ref="U97">MIN(ABS(M97:O97))</f>
        <v>7.2086233999550942E-2</v>
      </c>
    </row>
    <row r="98" spans="1:21" x14ac:dyDescent="0.35">
      <c r="A98" t="s">
        <v>127</v>
      </c>
      <c r="B98" s="2">
        <v>14.58</v>
      </c>
      <c r="C98" s="2">
        <v>8.5299999999999994</v>
      </c>
      <c r="D98" s="2">
        <v>14.59</v>
      </c>
      <c r="E98" s="2">
        <v>46.56</v>
      </c>
      <c r="F98" s="2">
        <v>11.18</v>
      </c>
      <c r="G98">
        <v>2</v>
      </c>
      <c r="H98">
        <v>7</v>
      </c>
      <c r="I98">
        <v>13</v>
      </c>
      <c r="J98">
        <v>0</v>
      </c>
      <c r="K98">
        <v>0</v>
      </c>
      <c r="L98">
        <v>2</v>
      </c>
      <c r="M98" s="1">
        <f t="shared" si="8"/>
        <v>-0.41495198902606312</v>
      </c>
      <c r="N98" s="1">
        <f t="shared" si="9"/>
        <v>6.8587105624140499E-4</v>
      </c>
      <c r="O98" s="1">
        <f t="shared" si="10"/>
        <v>2.1934156378600824</v>
      </c>
      <c r="P98">
        <f t="shared" si="11"/>
        <v>156</v>
      </c>
      <c r="Q98">
        <f t="shared" si="12"/>
        <v>108</v>
      </c>
      <c r="R98">
        <f t="shared" si="13"/>
        <v>59</v>
      </c>
      <c r="S98">
        <f t="shared" si="14"/>
        <v>323</v>
      </c>
      <c r="T98">
        <f t="shared" si="15"/>
        <v>97</v>
      </c>
      <c r="U98" s="1" cm="1">
        <f t="array" ref="U98">MIN(ABS(M98:O98))</f>
        <v>6.8587105624140499E-4</v>
      </c>
    </row>
    <row r="99" spans="1:21" x14ac:dyDescent="0.35">
      <c r="A99" t="s">
        <v>113</v>
      </c>
      <c r="B99" s="2">
        <v>57.82</v>
      </c>
      <c r="C99" s="2">
        <v>52.67</v>
      </c>
      <c r="D99" s="2">
        <v>63.01</v>
      </c>
      <c r="E99" s="2">
        <v>100.15</v>
      </c>
      <c r="F99" s="2">
        <v>7.97</v>
      </c>
      <c r="G99">
        <v>0</v>
      </c>
      <c r="H99">
        <v>1</v>
      </c>
      <c r="I99">
        <v>5</v>
      </c>
      <c r="J99">
        <v>1</v>
      </c>
      <c r="K99">
        <v>3</v>
      </c>
      <c r="L99">
        <v>6</v>
      </c>
      <c r="M99" s="1">
        <f t="shared" si="8"/>
        <v>-8.9069526115530984E-2</v>
      </c>
      <c r="N99" s="1">
        <f t="shared" si="9"/>
        <v>8.9761328260117512E-2</v>
      </c>
      <c r="O99" s="1">
        <f t="shared" si="10"/>
        <v>0.73209961950882052</v>
      </c>
      <c r="P99">
        <f t="shared" si="11"/>
        <v>70</v>
      </c>
      <c r="Q99">
        <f t="shared" si="12"/>
        <v>94</v>
      </c>
      <c r="R99">
        <f t="shared" si="13"/>
        <v>160</v>
      </c>
      <c r="S99">
        <f t="shared" si="14"/>
        <v>324</v>
      </c>
      <c r="T99">
        <f t="shared" si="15"/>
        <v>98</v>
      </c>
      <c r="U99" s="1" cm="1">
        <f t="array" ref="U99">MIN(ABS(M99:O99))</f>
        <v>8.9069526115530984E-2</v>
      </c>
    </row>
    <row r="100" spans="1:21" x14ac:dyDescent="0.35">
      <c r="A100" t="s">
        <v>118</v>
      </c>
      <c r="B100" s="2">
        <v>324.13</v>
      </c>
      <c r="C100" s="2">
        <v>168.48</v>
      </c>
      <c r="D100" s="2">
        <v>344.42</v>
      </c>
      <c r="E100" s="2">
        <v>1570.57</v>
      </c>
      <c r="F100" s="2">
        <v>6.62</v>
      </c>
      <c r="G100">
        <v>2</v>
      </c>
      <c r="H100">
        <v>10</v>
      </c>
      <c r="I100">
        <v>18</v>
      </c>
      <c r="J100">
        <v>0</v>
      </c>
      <c r="K100">
        <v>1</v>
      </c>
      <c r="L100">
        <v>2</v>
      </c>
      <c r="M100" s="1">
        <f t="shared" si="8"/>
        <v>-0.48020855829451148</v>
      </c>
      <c r="N100" s="1">
        <f t="shared" si="9"/>
        <v>6.2598340172153266E-2</v>
      </c>
      <c r="O100" s="1">
        <f t="shared" si="10"/>
        <v>3.8454940918767164</v>
      </c>
      <c r="P100">
        <f t="shared" si="11"/>
        <v>189</v>
      </c>
      <c r="Q100">
        <f t="shared" si="12"/>
        <v>99</v>
      </c>
      <c r="R100">
        <f t="shared" si="13"/>
        <v>36</v>
      </c>
      <c r="S100">
        <f t="shared" si="14"/>
        <v>324</v>
      </c>
      <c r="T100">
        <f t="shared" si="15"/>
        <v>98</v>
      </c>
      <c r="U100" s="1" cm="1">
        <f t="array" ref="U100">MIN(ABS(M100:O100))</f>
        <v>6.2598340172153266E-2</v>
      </c>
    </row>
    <row r="101" spans="1:21" x14ac:dyDescent="0.35">
      <c r="A101" t="s">
        <v>114</v>
      </c>
      <c r="B101" s="2">
        <v>67.59</v>
      </c>
      <c r="C101" s="2">
        <v>58.6</v>
      </c>
      <c r="D101" s="2">
        <v>72.59</v>
      </c>
      <c r="E101" s="2">
        <v>115.91</v>
      </c>
      <c r="F101" s="2">
        <v>10.49</v>
      </c>
      <c r="G101">
        <v>1</v>
      </c>
      <c r="H101">
        <v>3</v>
      </c>
      <c r="I101">
        <v>5</v>
      </c>
      <c r="J101">
        <v>0</v>
      </c>
      <c r="K101">
        <v>1</v>
      </c>
      <c r="L101">
        <v>2</v>
      </c>
      <c r="M101" s="1">
        <f t="shared" si="8"/>
        <v>-0.13300784139665633</v>
      </c>
      <c r="N101" s="1">
        <f t="shared" si="9"/>
        <v>7.397544015386881E-2</v>
      </c>
      <c r="O101" s="1">
        <f t="shared" si="10"/>
        <v>0.71489865364698901</v>
      </c>
      <c r="P101">
        <f t="shared" si="11"/>
        <v>79</v>
      </c>
      <c r="Q101">
        <f t="shared" si="12"/>
        <v>95</v>
      </c>
      <c r="R101">
        <f t="shared" si="13"/>
        <v>161</v>
      </c>
      <c r="S101">
        <f t="shared" si="14"/>
        <v>335</v>
      </c>
      <c r="T101">
        <f t="shared" si="15"/>
        <v>100</v>
      </c>
      <c r="U101" s="1" cm="1">
        <f t="array" ref="U101">MIN(ABS(M101:O101))</f>
        <v>7.397544015386881E-2</v>
      </c>
    </row>
    <row r="102" spans="1:21" x14ac:dyDescent="0.35">
      <c r="A102" t="s">
        <v>123</v>
      </c>
      <c r="B102" s="2">
        <v>39.15</v>
      </c>
      <c r="C102" s="2">
        <v>22.26</v>
      </c>
      <c r="D102" s="2">
        <v>40.369999999999997</v>
      </c>
      <c r="E102" s="2">
        <v>120.14</v>
      </c>
      <c r="F102" s="2">
        <v>6.97</v>
      </c>
      <c r="G102">
        <v>1</v>
      </c>
      <c r="H102">
        <v>7</v>
      </c>
      <c r="I102">
        <v>12</v>
      </c>
      <c r="J102">
        <v>0</v>
      </c>
      <c r="K102">
        <v>2</v>
      </c>
      <c r="L102">
        <v>4</v>
      </c>
      <c r="M102" s="1">
        <f t="shared" si="8"/>
        <v>-0.43141762452107268</v>
      </c>
      <c r="N102" s="1">
        <f t="shared" si="9"/>
        <v>3.1162196679437981E-2</v>
      </c>
      <c r="O102" s="1">
        <f t="shared" si="10"/>
        <v>2.0687100893997448</v>
      </c>
      <c r="P102">
        <f t="shared" si="11"/>
        <v>168</v>
      </c>
      <c r="Q102">
        <f t="shared" si="12"/>
        <v>104</v>
      </c>
      <c r="R102">
        <f t="shared" si="13"/>
        <v>63</v>
      </c>
      <c r="S102">
        <f t="shared" si="14"/>
        <v>335</v>
      </c>
      <c r="T102">
        <f t="shared" si="15"/>
        <v>100</v>
      </c>
      <c r="U102" s="1" cm="1">
        <f t="array" ref="U102">MIN(ABS(M102:O102))</f>
        <v>3.1162196679437981E-2</v>
      </c>
    </row>
    <row r="103" spans="1:21" x14ac:dyDescent="0.35">
      <c r="A103" t="s">
        <v>119</v>
      </c>
      <c r="B103" s="2">
        <v>259.52999999999997</v>
      </c>
      <c r="C103" s="2">
        <v>128.71</v>
      </c>
      <c r="D103" s="2">
        <v>275.60000000000002</v>
      </c>
      <c r="E103" s="2">
        <v>1282.55</v>
      </c>
      <c r="F103" s="2">
        <v>7.46</v>
      </c>
      <c r="G103">
        <v>2</v>
      </c>
      <c r="H103">
        <v>10</v>
      </c>
      <c r="I103">
        <v>18</v>
      </c>
      <c r="J103">
        <v>0</v>
      </c>
      <c r="K103">
        <v>1</v>
      </c>
      <c r="L103">
        <v>3</v>
      </c>
      <c r="M103" s="1">
        <f t="shared" si="8"/>
        <v>-0.50406504065040636</v>
      </c>
      <c r="N103" s="1">
        <f t="shared" si="9"/>
        <v>6.1919623935576151E-2</v>
      </c>
      <c r="O103" s="1">
        <f t="shared" si="10"/>
        <v>3.9418179015913388</v>
      </c>
      <c r="P103">
        <f t="shared" si="11"/>
        <v>203</v>
      </c>
      <c r="Q103">
        <f t="shared" si="12"/>
        <v>100</v>
      </c>
      <c r="R103">
        <f t="shared" si="13"/>
        <v>35</v>
      </c>
      <c r="S103">
        <f t="shared" si="14"/>
        <v>338</v>
      </c>
      <c r="T103">
        <f t="shared" si="15"/>
        <v>102</v>
      </c>
      <c r="U103" s="1" cm="1">
        <f t="array" ref="U103">MIN(ABS(M103:O103))</f>
        <v>6.1919623935576151E-2</v>
      </c>
    </row>
    <row r="104" spans="1:21" x14ac:dyDescent="0.35">
      <c r="A104" t="s">
        <v>125</v>
      </c>
      <c r="B104" s="2">
        <v>23.81</v>
      </c>
      <c r="C104" s="2">
        <v>24.24</v>
      </c>
      <c r="D104" s="2">
        <v>24.07</v>
      </c>
      <c r="E104" s="2">
        <v>36.86</v>
      </c>
      <c r="F104" s="2">
        <v>12.91</v>
      </c>
      <c r="G104">
        <v>-2</v>
      </c>
      <c r="H104">
        <v>1</v>
      </c>
      <c r="I104">
        <v>5</v>
      </c>
      <c r="J104">
        <v>0</v>
      </c>
      <c r="K104">
        <v>0</v>
      </c>
      <c r="L104">
        <v>2</v>
      </c>
      <c r="M104" s="1">
        <f t="shared" si="8"/>
        <v>1.8059638807223832E-2</v>
      </c>
      <c r="N104" s="1">
        <f t="shared" si="9"/>
        <v>1.0919781604368017E-2</v>
      </c>
      <c r="O104" s="1">
        <f t="shared" si="10"/>
        <v>0.5480890382192356</v>
      </c>
      <c r="P104">
        <f t="shared" si="11"/>
        <v>57</v>
      </c>
      <c r="Q104">
        <f t="shared" si="12"/>
        <v>106</v>
      </c>
      <c r="R104">
        <f t="shared" si="13"/>
        <v>176</v>
      </c>
      <c r="S104">
        <f t="shared" si="14"/>
        <v>339</v>
      </c>
      <c r="T104">
        <f t="shared" si="15"/>
        <v>103</v>
      </c>
      <c r="U104" s="1" cm="1">
        <f t="array" ref="U104">MIN(ABS(M104:O104))</f>
        <v>1.0919781604368017E-2</v>
      </c>
    </row>
    <row r="105" spans="1:21" x14ac:dyDescent="0.35">
      <c r="A105" t="s">
        <v>122</v>
      </c>
      <c r="B105" s="2">
        <v>22.94</v>
      </c>
      <c r="C105" s="2">
        <v>11.44</v>
      </c>
      <c r="D105" s="2">
        <v>23.79</v>
      </c>
      <c r="E105" s="2">
        <v>105.97</v>
      </c>
      <c r="F105" s="2">
        <v>10.35</v>
      </c>
      <c r="G105">
        <v>2</v>
      </c>
      <c r="H105">
        <v>10</v>
      </c>
      <c r="I105">
        <v>17</v>
      </c>
      <c r="J105">
        <v>0</v>
      </c>
      <c r="K105">
        <v>1</v>
      </c>
      <c r="L105">
        <v>2</v>
      </c>
      <c r="M105" s="1">
        <f t="shared" si="8"/>
        <v>-0.50130775937227556</v>
      </c>
      <c r="N105" s="1">
        <f t="shared" si="9"/>
        <v>3.7053182214472402E-2</v>
      </c>
      <c r="O105" s="1">
        <f t="shared" si="10"/>
        <v>3.6194420226678288</v>
      </c>
      <c r="P105">
        <f t="shared" si="11"/>
        <v>201</v>
      </c>
      <c r="Q105">
        <f t="shared" si="12"/>
        <v>103</v>
      </c>
      <c r="R105">
        <f t="shared" si="13"/>
        <v>39</v>
      </c>
      <c r="S105">
        <f t="shared" si="14"/>
        <v>343</v>
      </c>
      <c r="T105">
        <f t="shared" si="15"/>
        <v>104</v>
      </c>
      <c r="U105" s="1" cm="1">
        <f t="array" ref="U105">MIN(ABS(M105:O105))</f>
        <v>3.7053182214472402E-2</v>
      </c>
    </row>
    <row r="106" spans="1:21" x14ac:dyDescent="0.35">
      <c r="A106" t="s">
        <v>128</v>
      </c>
      <c r="B106" s="2">
        <v>345.03</v>
      </c>
      <c r="C106" s="2">
        <v>260.81</v>
      </c>
      <c r="D106" s="2">
        <v>343.43</v>
      </c>
      <c r="E106" s="2">
        <v>671.8</v>
      </c>
      <c r="F106" s="2">
        <v>11.49</v>
      </c>
      <c r="G106">
        <v>1</v>
      </c>
      <c r="H106">
        <v>3</v>
      </c>
      <c r="I106">
        <v>6</v>
      </c>
      <c r="J106">
        <v>0</v>
      </c>
      <c r="K106">
        <v>0</v>
      </c>
      <c r="L106">
        <v>2</v>
      </c>
      <c r="M106" s="1">
        <f t="shared" si="8"/>
        <v>-0.24409471640147229</v>
      </c>
      <c r="N106" s="1">
        <f t="shared" si="9"/>
        <v>-4.6372779178621704E-3</v>
      </c>
      <c r="O106" s="1">
        <f t="shared" si="10"/>
        <v>0.94707706576239747</v>
      </c>
      <c r="P106">
        <f t="shared" si="11"/>
        <v>103</v>
      </c>
      <c r="Q106">
        <f t="shared" si="12"/>
        <v>109</v>
      </c>
      <c r="R106">
        <f t="shared" si="13"/>
        <v>132</v>
      </c>
      <c r="S106">
        <f t="shared" si="14"/>
        <v>344</v>
      </c>
      <c r="T106">
        <f t="shared" si="15"/>
        <v>105</v>
      </c>
      <c r="U106" s="1" cm="1">
        <f t="array" ref="U106">MIN(ABS(M106:O106))</f>
        <v>4.6372779178621704E-3</v>
      </c>
    </row>
    <row r="107" spans="1:21" x14ac:dyDescent="0.35">
      <c r="A107" t="s">
        <v>130</v>
      </c>
      <c r="B107" s="2">
        <v>37.6</v>
      </c>
      <c r="C107" s="2">
        <v>21.67</v>
      </c>
      <c r="D107" s="2">
        <v>36.81</v>
      </c>
      <c r="E107" s="2">
        <v>109.58</v>
      </c>
      <c r="F107" s="2">
        <v>10.19</v>
      </c>
      <c r="G107">
        <v>2</v>
      </c>
      <c r="H107">
        <v>7</v>
      </c>
      <c r="I107">
        <v>12</v>
      </c>
      <c r="J107">
        <v>0</v>
      </c>
      <c r="K107">
        <v>1</v>
      </c>
      <c r="L107">
        <v>2</v>
      </c>
      <c r="M107" s="1">
        <f t="shared" si="8"/>
        <v>-0.4236702127659574</v>
      </c>
      <c r="N107" s="1">
        <f t="shared" si="9"/>
        <v>-2.1010638297872308E-2</v>
      </c>
      <c r="O107" s="1">
        <f t="shared" si="10"/>
        <v>1.9143617021276595</v>
      </c>
      <c r="P107">
        <f t="shared" si="11"/>
        <v>164</v>
      </c>
      <c r="Q107">
        <f t="shared" si="12"/>
        <v>111</v>
      </c>
      <c r="R107">
        <f t="shared" si="13"/>
        <v>70</v>
      </c>
      <c r="S107">
        <f t="shared" si="14"/>
        <v>345</v>
      </c>
      <c r="T107">
        <f t="shared" si="15"/>
        <v>106</v>
      </c>
      <c r="U107" s="1" cm="1">
        <f t="array" ref="U107">MIN(ABS(M107:O107))</f>
        <v>2.1010638297872308E-2</v>
      </c>
    </row>
    <row r="108" spans="1:21" x14ac:dyDescent="0.35">
      <c r="A108" t="s">
        <v>120</v>
      </c>
      <c r="B108" s="2">
        <v>24.73</v>
      </c>
      <c r="C108" s="2">
        <v>23.94</v>
      </c>
      <c r="D108" s="2">
        <v>25.95</v>
      </c>
      <c r="E108" s="2">
        <v>36.5</v>
      </c>
      <c r="F108" s="2">
        <v>12.02</v>
      </c>
      <c r="G108">
        <v>0</v>
      </c>
      <c r="H108">
        <v>2</v>
      </c>
      <c r="I108">
        <v>5</v>
      </c>
      <c r="J108">
        <v>0</v>
      </c>
      <c r="K108">
        <v>0</v>
      </c>
      <c r="L108">
        <v>2</v>
      </c>
      <c r="M108" s="1">
        <f t="shared" si="8"/>
        <v>-3.1945006065507431E-2</v>
      </c>
      <c r="N108" s="1">
        <f t="shared" si="9"/>
        <v>4.9332794177112671E-2</v>
      </c>
      <c r="O108" s="1">
        <f t="shared" si="10"/>
        <v>0.47594015365952291</v>
      </c>
      <c r="P108">
        <f t="shared" si="11"/>
        <v>64</v>
      </c>
      <c r="Q108">
        <f t="shared" si="12"/>
        <v>101</v>
      </c>
      <c r="R108">
        <f t="shared" si="13"/>
        <v>182</v>
      </c>
      <c r="S108">
        <f t="shared" si="14"/>
        <v>347</v>
      </c>
      <c r="T108">
        <f t="shared" si="15"/>
        <v>107</v>
      </c>
      <c r="U108" s="1" cm="1">
        <f t="array" ref="U108">MIN(ABS(M108:O108))</f>
        <v>3.1945006065507431E-2</v>
      </c>
    </row>
    <row r="109" spans="1:21" x14ac:dyDescent="0.35">
      <c r="A109" t="s">
        <v>131</v>
      </c>
      <c r="B109" s="2">
        <v>411.57</v>
      </c>
      <c r="C109" s="2">
        <v>279.98</v>
      </c>
      <c r="D109" s="2">
        <v>402.6</v>
      </c>
      <c r="E109" s="2">
        <v>887.28</v>
      </c>
      <c r="F109" s="2">
        <v>11.36</v>
      </c>
      <c r="G109">
        <v>1</v>
      </c>
      <c r="H109">
        <v>4</v>
      </c>
      <c r="I109">
        <v>8</v>
      </c>
      <c r="J109">
        <v>0</v>
      </c>
      <c r="K109">
        <v>1</v>
      </c>
      <c r="L109">
        <v>2</v>
      </c>
      <c r="M109" s="1">
        <f t="shared" si="8"/>
        <v>-0.31972689943387511</v>
      </c>
      <c r="N109" s="1">
        <f t="shared" si="9"/>
        <v>-2.1794591442524935E-2</v>
      </c>
      <c r="O109" s="1">
        <f t="shared" si="10"/>
        <v>1.1558422625555798</v>
      </c>
      <c r="P109">
        <f t="shared" si="11"/>
        <v>125</v>
      </c>
      <c r="Q109">
        <f t="shared" si="12"/>
        <v>112</v>
      </c>
      <c r="R109">
        <f t="shared" si="13"/>
        <v>113</v>
      </c>
      <c r="S109">
        <f t="shared" si="14"/>
        <v>350</v>
      </c>
      <c r="T109">
        <f t="shared" si="15"/>
        <v>108</v>
      </c>
      <c r="U109" s="1" cm="1">
        <f t="array" ref="U109">MIN(ABS(M109:O109))</f>
        <v>2.1794591442524935E-2</v>
      </c>
    </row>
    <row r="110" spans="1:21" x14ac:dyDescent="0.35">
      <c r="A110" t="s">
        <v>121</v>
      </c>
      <c r="B110" s="2">
        <v>84.03</v>
      </c>
      <c r="C110" s="2">
        <v>69.989999999999995</v>
      </c>
      <c r="D110" s="2">
        <v>87.75</v>
      </c>
      <c r="E110" s="2">
        <v>142.21</v>
      </c>
      <c r="F110" s="2">
        <v>10.32</v>
      </c>
      <c r="G110">
        <v>1</v>
      </c>
      <c r="H110">
        <v>3</v>
      </c>
      <c r="I110">
        <v>5</v>
      </c>
      <c r="J110">
        <v>0</v>
      </c>
      <c r="K110">
        <v>1</v>
      </c>
      <c r="L110">
        <v>2</v>
      </c>
      <c r="M110" s="1">
        <f t="shared" si="8"/>
        <v>-0.16708318457693683</v>
      </c>
      <c r="N110" s="1">
        <f t="shared" si="9"/>
        <v>4.4269903605855143E-2</v>
      </c>
      <c r="O110" s="1">
        <f t="shared" si="10"/>
        <v>0.69237177198619548</v>
      </c>
      <c r="P110">
        <f t="shared" si="11"/>
        <v>90</v>
      </c>
      <c r="Q110">
        <f t="shared" si="12"/>
        <v>102</v>
      </c>
      <c r="R110">
        <f t="shared" si="13"/>
        <v>162</v>
      </c>
      <c r="S110">
        <f t="shared" si="14"/>
        <v>354</v>
      </c>
      <c r="T110">
        <f t="shared" si="15"/>
        <v>109</v>
      </c>
      <c r="U110" s="1" cm="1">
        <f t="array" ref="U110">MIN(ABS(M110:O110))</f>
        <v>4.4269903605855143E-2</v>
      </c>
    </row>
    <row r="111" spans="1:21" x14ac:dyDescent="0.35">
      <c r="A111" t="s">
        <v>124</v>
      </c>
      <c r="B111" s="2">
        <v>19.8</v>
      </c>
      <c r="C111" s="2">
        <v>16.82</v>
      </c>
      <c r="D111" s="2">
        <v>20.190000000000001</v>
      </c>
      <c r="E111" s="2">
        <v>31.76</v>
      </c>
      <c r="F111" s="2">
        <v>12.41</v>
      </c>
      <c r="G111">
        <v>1</v>
      </c>
      <c r="H111">
        <v>3</v>
      </c>
      <c r="I111">
        <v>5</v>
      </c>
      <c r="J111">
        <v>0</v>
      </c>
      <c r="K111">
        <v>0</v>
      </c>
      <c r="L111">
        <v>2</v>
      </c>
      <c r="M111" s="1">
        <f t="shared" si="8"/>
        <v>-0.15050505050505047</v>
      </c>
      <c r="N111" s="1">
        <f t="shared" si="9"/>
        <v>1.9696969696969768E-2</v>
      </c>
      <c r="O111" s="1">
        <f t="shared" si="10"/>
        <v>0.60404040404040416</v>
      </c>
      <c r="P111">
        <f t="shared" si="11"/>
        <v>85</v>
      </c>
      <c r="Q111">
        <f t="shared" si="12"/>
        <v>105</v>
      </c>
      <c r="R111">
        <f t="shared" si="13"/>
        <v>167</v>
      </c>
      <c r="S111">
        <f t="shared" si="14"/>
        <v>357</v>
      </c>
      <c r="T111">
        <f t="shared" si="15"/>
        <v>110</v>
      </c>
      <c r="U111" s="1" cm="1">
        <f t="array" ref="U111">MIN(ABS(M111:O111))</f>
        <v>1.9696969696969768E-2</v>
      </c>
    </row>
    <row r="112" spans="1:21" x14ac:dyDescent="0.35">
      <c r="A112" t="s">
        <v>135</v>
      </c>
      <c r="B112" s="2">
        <v>25.66</v>
      </c>
      <c r="C112" s="2">
        <v>21.65</v>
      </c>
      <c r="D112" s="2">
        <v>24.86</v>
      </c>
      <c r="E112" s="2">
        <v>44.74</v>
      </c>
      <c r="F112" s="2">
        <v>12.43</v>
      </c>
      <c r="G112">
        <v>0</v>
      </c>
      <c r="H112">
        <v>1</v>
      </c>
      <c r="I112">
        <v>5</v>
      </c>
      <c r="J112">
        <v>0</v>
      </c>
      <c r="K112">
        <v>1</v>
      </c>
      <c r="L112">
        <v>2</v>
      </c>
      <c r="M112" s="1">
        <f t="shared" si="8"/>
        <v>-0.15627435697583791</v>
      </c>
      <c r="N112" s="1">
        <f t="shared" si="9"/>
        <v>-3.117692907248637E-2</v>
      </c>
      <c r="O112" s="1">
        <f t="shared" si="10"/>
        <v>0.74356975837879968</v>
      </c>
      <c r="P112">
        <f t="shared" si="11"/>
        <v>86</v>
      </c>
      <c r="Q112">
        <f t="shared" si="12"/>
        <v>116</v>
      </c>
      <c r="R112">
        <f t="shared" si="13"/>
        <v>155</v>
      </c>
      <c r="S112">
        <f t="shared" si="14"/>
        <v>357</v>
      </c>
      <c r="T112">
        <f t="shared" si="15"/>
        <v>110</v>
      </c>
      <c r="U112" s="1" cm="1">
        <f t="array" ref="U112">MIN(ABS(M112:O112))</f>
        <v>3.117692907248637E-2</v>
      </c>
    </row>
    <row r="113" spans="1:21" x14ac:dyDescent="0.35">
      <c r="A113" t="s">
        <v>126</v>
      </c>
      <c r="B113" s="2">
        <v>152.80000000000001</v>
      </c>
      <c r="C113" s="2">
        <v>131.63</v>
      </c>
      <c r="D113" s="2">
        <v>153.04</v>
      </c>
      <c r="E113" s="2">
        <v>238.34</v>
      </c>
      <c r="F113" s="2">
        <v>6</v>
      </c>
      <c r="G113">
        <v>0</v>
      </c>
      <c r="H113">
        <v>1</v>
      </c>
      <c r="I113">
        <v>5</v>
      </c>
      <c r="J113">
        <v>1</v>
      </c>
      <c r="K113">
        <v>5</v>
      </c>
      <c r="L113">
        <v>9</v>
      </c>
      <c r="M113" s="1">
        <f t="shared" si="8"/>
        <v>-0.13854712041884831</v>
      </c>
      <c r="N113" s="1">
        <f t="shared" si="9"/>
        <v>1.5706806282720365E-3</v>
      </c>
      <c r="O113" s="1">
        <f t="shared" si="10"/>
        <v>0.55981675392670138</v>
      </c>
      <c r="P113">
        <f t="shared" si="11"/>
        <v>83</v>
      </c>
      <c r="Q113">
        <f t="shared" si="12"/>
        <v>107</v>
      </c>
      <c r="R113">
        <f t="shared" si="13"/>
        <v>174</v>
      </c>
      <c r="S113">
        <f t="shared" si="14"/>
        <v>364</v>
      </c>
      <c r="T113">
        <f t="shared" si="15"/>
        <v>112</v>
      </c>
      <c r="U113" s="1" cm="1">
        <f t="array" ref="U113">MIN(ABS(M113:O113))</f>
        <v>1.5706806282720365E-3</v>
      </c>
    </row>
    <row r="114" spans="1:21" x14ac:dyDescent="0.35">
      <c r="A114" t="s">
        <v>129</v>
      </c>
      <c r="B114" s="2">
        <v>47.16</v>
      </c>
      <c r="C114" s="2">
        <v>35.24</v>
      </c>
      <c r="D114" s="2">
        <v>46.34</v>
      </c>
      <c r="E114" s="2">
        <v>85.51</v>
      </c>
      <c r="F114" s="2">
        <v>11.62</v>
      </c>
      <c r="G114">
        <v>1</v>
      </c>
      <c r="H114">
        <v>4</v>
      </c>
      <c r="I114">
        <v>7</v>
      </c>
      <c r="J114">
        <v>0</v>
      </c>
      <c r="K114">
        <v>0</v>
      </c>
      <c r="L114">
        <v>2</v>
      </c>
      <c r="M114" s="1">
        <f t="shared" si="8"/>
        <v>-0.25275657336726032</v>
      </c>
      <c r="N114" s="1">
        <f t="shared" si="9"/>
        <v>-1.7387616624257696E-2</v>
      </c>
      <c r="O114" s="1">
        <f t="shared" si="10"/>
        <v>0.81318914334181525</v>
      </c>
      <c r="P114">
        <f t="shared" si="11"/>
        <v>104</v>
      </c>
      <c r="Q114">
        <f t="shared" si="12"/>
        <v>110</v>
      </c>
      <c r="R114">
        <f t="shared" si="13"/>
        <v>151</v>
      </c>
      <c r="S114">
        <f t="shared" si="14"/>
        <v>365</v>
      </c>
      <c r="T114">
        <f t="shared" si="15"/>
        <v>113</v>
      </c>
      <c r="U114" s="1" cm="1">
        <f t="array" ref="U114">MIN(ABS(M114:O114))</f>
        <v>1.7387616624257696E-2</v>
      </c>
    </row>
    <row r="115" spans="1:21" x14ac:dyDescent="0.35">
      <c r="A115" t="s">
        <v>134</v>
      </c>
      <c r="B115" s="2">
        <v>84.12</v>
      </c>
      <c r="C115" s="2">
        <v>74</v>
      </c>
      <c r="D115" s="2">
        <v>81.75</v>
      </c>
      <c r="E115" s="2">
        <v>130.72999999999999</v>
      </c>
      <c r="F115" s="2">
        <v>11.33</v>
      </c>
      <c r="G115">
        <v>0</v>
      </c>
      <c r="H115">
        <v>1</v>
      </c>
      <c r="I115">
        <v>5</v>
      </c>
      <c r="J115">
        <v>0</v>
      </c>
      <c r="K115">
        <v>1</v>
      </c>
      <c r="L115">
        <v>2</v>
      </c>
      <c r="M115" s="1">
        <f t="shared" si="8"/>
        <v>-0.12030432715168815</v>
      </c>
      <c r="N115" s="1">
        <f t="shared" si="9"/>
        <v>-2.8174037089871651E-2</v>
      </c>
      <c r="O115" s="1">
        <f t="shared" si="10"/>
        <v>0.55408939610080821</v>
      </c>
      <c r="P115">
        <f t="shared" si="11"/>
        <v>75</v>
      </c>
      <c r="Q115">
        <f t="shared" si="12"/>
        <v>115</v>
      </c>
      <c r="R115">
        <f t="shared" si="13"/>
        <v>175</v>
      </c>
      <c r="S115">
        <f t="shared" si="14"/>
        <v>365</v>
      </c>
      <c r="T115">
        <f t="shared" si="15"/>
        <v>113</v>
      </c>
      <c r="U115" s="1" cm="1">
        <f t="array" ref="U115">MIN(ABS(M115:O115))</f>
        <v>2.8174037089871651E-2</v>
      </c>
    </row>
    <row r="116" spans="1:21" x14ac:dyDescent="0.35">
      <c r="A116" t="s">
        <v>132</v>
      </c>
      <c r="B116" s="2">
        <v>16.87</v>
      </c>
      <c r="C116" s="2">
        <v>14.04</v>
      </c>
      <c r="D116" s="2">
        <v>16.489999999999998</v>
      </c>
      <c r="E116" s="2">
        <v>27.74</v>
      </c>
      <c r="F116" s="2">
        <v>11.74</v>
      </c>
      <c r="G116">
        <v>0</v>
      </c>
      <c r="H116">
        <v>2</v>
      </c>
      <c r="I116">
        <v>5</v>
      </c>
      <c r="J116">
        <v>0</v>
      </c>
      <c r="K116">
        <v>1</v>
      </c>
      <c r="L116">
        <v>2</v>
      </c>
      <c r="M116" s="1">
        <f t="shared" si="8"/>
        <v>-0.1677534084173089</v>
      </c>
      <c r="N116" s="1">
        <f t="shared" si="9"/>
        <v>-2.2525192649674119E-2</v>
      </c>
      <c r="O116" s="1">
        <f t="shared" si="10"/>
        <v>0.64433906342620006</v>
      </c>
      <c r="P116">
        <f t="shared" si="11"/>
        <v>91</v>
      </c>
      <c r="Q116">
        <f t="shared" si="12"/>
        <v>113</v>
      </c>
      <c r="R116">
        <f t="shared" si="13"/>
        <v>164</v>
      </c>
      <c r="S116">
        <f t="shared" si="14"/>
        <v>368</v>
      </c>
      <c r="T116">
        <f t="shared" si="15"/>
        <v>115</v>
      </c>
      <c r="U116" s="1" cm="1">
        <f t="array" ref="U116">MIN(ABS(M116:O116))</f>
        <v>2.2525192649674119E-2</v>
      </c>
    </row>
    <row r="117" spans="1:21" x14ac:dyDescent="0.35">
      <c r="A117" t="s">
        <v>133</v>
      </c>
      <c r="B117" s="2">
        <v>34.909999999999997</v>
      </c>
      <c r="C117" s="2">
        <v>31.64</v>
      </c>
      <c r="D117" s="2">
        <v>34.08</v>
      </c>
      <c r="E117" s="2">
        <v>51.11</v>
      </c>
      <c r="F117" s="2">
        <v>13.15</v>
      </c>
      <c r="G117">
        <v>0</v>
      </c>
      <c r="H117">
        <v>1</v>
      </c>
      <c r="I117">
        <v>5</v>
      </c>
      <c r="J117">
        <v>0</v>
      </c>
      <c r="K117">
        <v>0</v>
      </c>
      <c r="L117">
        <v>2</v>
      </c>
      <c r="M117" s="1">
        <f t="shared" si="8"/>
        <v>-9.3669435691778768E-2</v>
      </c>
      <c r="N117" s="1">
        <f t="shared" si="9"/>
        <v>-2.3775422515038613E-2</v>
      </c>
      <c r="O117" s="1">
        <f t="shared" si="10"/>
        <v>0.46405041535376701</v>
      </c>
      <c r="P117">
        <f t="shared" si="11"/>
        <v>71</v>
      </c>
      <c r="Q117">
        <f t="shared" si="12"/>
        <v>114</v>
      </c>
      <c r="R117">
        <f t="shared" si="13"/>
        <v>184</v>
      </c>
      <c r="S117">
        <f t="shared" si="14"/>
        <v>369</v>
      </c>
      <c r="T117">
        <f t="shared" si="15"/>
        <v>116</v>
      </c>
      <c r="U117" s="1" cm="1">
        <f t="array" ref="U117">MIN(ABS(M117:O117))</f>
        <v>2.3775422515038613E-2</v>
      </c>
    </row>
    <row r="118" spans="1:21" x14ac:dyDescent="0.35">
      <c r="A118" t="s">
        <v>136</v>
      </c>
      <c r="B118" s="2">
        <v>166.69</v>
      </c>
      <c r="C118" s="2">
        <v>84.34</v>
      </c>
      <c r="D118" s="2">
        <v>158.82</v>
      </c>
      <c r="E118" s="2">
        <v>516.69000000000005</v>
      </c>
      <c r="F118" s="2">
        <v>9.33</v>
      </c>
      <c r="G118">
        <v>2</v>
      </c>
      <c r="H118">
        <v>7</v>
      </c>
      <c r="I118">
        <v>13</v>
      </c>
      <c r="J118">
        <v>0</v>
      </c>
      <c r="K118">
        <v>2</v>
      </c>
      <c r="L118">
        <v>3</v>
      </c>
      <c r="M118" s="1">
        <f t="shared" si="8"/>
        <v>-0.49403083568300432</v>
      </c>
      <c r="N118" s="1">
        <f t="shared" si="9"/>
        <v>-4.7213390125382504E-2</v>
      </c>
      <c r="O118" s="1">
        <f t="shared" si="10"/>
        <v>2.099706041154239</v>
      </c>
      <c r="P118">
        <f t="shared" si="11"/>
        <v>198</v>
      </c>
      <c r="Q118">
        <f t="shared" si="12"/>
        <v>117</v>
      </c>
      <c r="R118">
        <f t="shared" si="13"/>
        <v>61</v>
      </c>
      <c r="S118">
        <f t="shared" si="14"/>
        <v>376</v>
      </c>
      <c r="T118">
        <f t="shared" si="15"/>
        <v>117</v>
      </c>
      <c r="U118" s="1" cm="1">
        <f t="array" ref="U118">MIN(ABS(M118:O118))</f>
        <v>4.7213390125382504E-2</v>
      </c>
    </row>
    <row r="119" spans="1:21" x14ac:dyDescent="0.35">
      <c r="A119" t="s">
        <v>137</v>
      </c>
      <c r="B119" s="2">
        <v>357.24</v>
      </c>
      <c r="C119" s="2">
        <v>228.78</v>
      </c>
      <c r="D119" s="2">
        <v>337.84</v>
      </c>
      <c r="E119" s="2">
        <v>720.58</v>
      </c>
      <c r="F119" s="2">
        <v>7.95</v>
      </c>
      <c r="G119">
        <v>1</v>
      </c>
      <c r="H119">
        <v>5</v>
      </c>
      <c r="I119">
        <v>9</v>
      </c>
      <c r="J119">
        <v>0</v>
      </c>
      <c r="K119">
        <v>2</v>
      </c>
      <c r="L119">
        <v>3</v>
      </c>
      <c r="M119" s="1">
        <f t="shared" si="8"/>
        <v>-0.35959019146792071</v>
      </c>
      <c r="N119" s="1">
        <f t="shared" si="9"/>
        <v>-5.4305228977718167E-2</v>
      </c>
      <c r="O119" s="1">
        <f t="shared" si="10"/>
        <v>1.017075355503303</v>
      </c>
      <c r="P119">
        <f t="shared" si="11"/>
        <v>141</v>
      </c>
      <c r="Q119">
        <f t="shared" si="12"/>
        <v>118</v>
      </c>
      <c r="R119">
        <f t="shared" si="13"/>
        <v>123</v>
      </c>
      <c r="S119">
        <f t="shared" si="14"/>
        <v>382</v>
      </c>
      <c r="T119">
        <f t="shared" si="15"/>
        <v>118</v>
      </c>
      <c r="U119" s="1" cm="1">
        <f t="array" ref="U119">MIN(ABS(M119:O119))</f>
        <v>5.4305228977718167E-2</v>
      </c>
    </row>
    <row r="120" spans="1:21" x14ac:dyDescent="0.35">
      <c r="A120" t="s">
        <v>141</v>
      </c>
      <c r="B120" s="2">
        <v>61.92</v>
      </c>
      <c r="C120" s="2">
        <v>29.2</v>
      </c>
      <c r="D120" s="2">
        <v>58.03</v>
      </c>
      <c r="E120" s="2">
        <v>237.04</v>
      </c>
      <c r="F120" s="2">
        <v>11.96</v>
      </c>
      <c r="G120">
        <v>2</v>
      </c>
      <c r="H120">
        <v>9</v>
      </c>
      <c r="I120">
        <v>16</v>
      </c>
      <c r="J120">
        <v>0</v>
      </c>
      <c r="K120">
        <v>0</v>
      </c>
      <c r="L120">
        <v>2</v>
      </c>
      <c r="M120" s="1">
        <f t="shared" si="8"/>
        <v>-0.5284237726098191</v>
      </c>
      <c r="N120" s="1">
        <f t="shared" si="9"/>
        <v>-6.2822997416020709E-2</v>
      </c>
      <c r="O120" s="1">
        <f t="shared" si="10"/>
        <v>2.8281653746770021</v>
      </c>
      <c r="P120">
        <f t="shared" si="11"/>
        <v>215</v>
      </c>
      <c r="Q120">
        <f t="shared" si="12"/>
        <v>122</v>
      </c>
      <c r="R120">
        <f t="shared" si="13"/>
        <v>48</v>
      </c>
      <c r="S120">
        <f t="shared" si="14"/>
        <v>385</v>
      </c>
      <c r="T120">
        <f t="shared" si="15"/>
        <v>119</v>
      </c>
      <c r="U120" s="1" cm="1">
        <f t="array" ref="U120">MIN(ABS(M120:O120))</f>
        <v>6.2822997416020709E-2</v>
      </c>
    </row>
    <row r="121" spans="1:21" x14ac:dyDescent="0.35">
      <c r="A121" t="s">
        <v>138</v>
      </c>
      <c r="B121" s="2">
        <v>79.48</v>
      </c>
      <c r="C121" s="2">
        <v>44.65</v>
      </c>
      <c r="D121" s="2">
        <v>75.09</v>
      </c>
      <c r="E121" s="2">
        <v>191.67</v>
      </c>
      <c r="F121" s="2">
        <v>6</v>
      </c>
      <c r="G121">
        <v>1</v>
      </c>
      <c r="H121">
        <v>6</v>
      </c>
      <c r="I121">
        <v>10</v>
      </c>
      <c r="J121">
        <v>1</v>
      </c>
      <c r="K121">
        <v>5</v>
      </c>
      <c r="L121">
        <v>9</v>
      </c>
      <c r="M121" s="1">
        <f t="shared" si="8"/>
        <v>-0.43822345244086569</v>
      </c>
      <c r="N121" s="1">
        <f t="shared" si="9"/>
        <v>-5.5234021137393063E-2</v>
      </c>
      <c r="O121" s="1">
        <f t="shared" si="10"/>
        <v>1.4115500754906893</v>
      </c>
      <c r="P121">
        <f t="shared" si="11"/>
        <v>171</v>
      </c>
      <c r="Q121">
        <f t="shared" si="12"/>
        <v>119</v>
      </c>
      <c r="R121">
        <f t="shared" si="13"/>
        <v>99</v>
      </c>
      <c r="S121">
        <f t="shared" si="14"/>
        <v>389</v>
      </c>
      <c r="T121">
        <f t="shared" si="15"/>
        <v>120</v>
      </c>
      <c r="U121" s="1" cm="1">
        <f t="array" ref="U121">MIN(ABS(M121:O121))</f>
        <v>5.5234021137393063E-2</v>
      </c>
    </row>
    <row r="122" spans="1:21" x14ac:dyDescent="0.35">
      <c r="A122" t="s">
        <v>139</v>
      </c>
      <c r="B122" s="2">
        <v>143.16</v>
      </c>
      <c r="C122" s="2">
        <v>123.68</v>
      </c>
      <c r="D122" s="2">
        <v>134.94</v>
      </c>
      <c r="E122" s="2">
        <v>206.18</v>
      </c>
      <c r="F122" s="2">
        <v>11.33</v>
      </c>
      <c r="G122">
        <v>0</v>
      </c>
      <c r="H122">
        <v>1</v>
      </c>
      <c r="I122">
        <v>5</v>
      </c>
      <c r="J122">
        <v>0</v>
      </c>
      <c r="K122">
        <v>0</v>
      </c>
      <c r="L122">
        <v>2</v>
      </c>
      <c r="M122" s="1">
        <f t="shared" si="8"/>
        <v>-0.13607152835987701</v>
      </c>
      <c r="N122" s="1">
        <f t="shared" si="9"/>
        <v>-5.741827326068738E-2</v>
      </c>
      <c r="O122" s="1">
        <f t="shared" si="10"/>
        <v>0.44020676166526962</v>
      </c>
      <c r="P122">
        <f t="shared" si="11"/>
        <v>82</v>
      </c>
      <c r="Q122">
        <f t="shared" si="12"/>
        <v>120</v>
      </c>
      <c r="R122">
        <f t="shared" si="13"/>
        <v>187</v>
      </c>
      <c r="S122">
        <f t="shared" si="14"/>
        <v>389</v>
      </c>
      <c r="T122">
        <f t="shared" si="15"/>
        <v>120</v>
      </c>
      <c r="U122" s="1" cm="1">
        <f t="array" ref="U122">MIN(ABS(M122:O122))</f>
        <v>5.741827326068738E-2</v>
      </c>
    </row>
    <row r="123" spans="1:21" x14ac:dyDescent="0.35">
      <c r="A123" t="s">
        <v>142</v>
      </c>
      <c r="B123" s="2">
        <v>43.58</v>
      </c>
      <c r="C123" s="2">
        <v>37.270000000000003</v>
      </c>
      <c r="D123" s="2">
        <v>40.47</v>
      </c>
      <c r="E123" s="2">
        <v>62.83</v>
      </c>
      <c r="F123" s="2">
        <v>11.89</v>
      </c>
      <c r="G123">
        <v>0</v>
      </c>
      <c r="H123">
        <v>1</v>
      </c>
      <c r="I123">
        <v>5</v>
      </c>
      <c r="J123">
        <v>0</v>
      </c>
      <c r="K123">
        <v>0</v>
      </c>
      <c r="L123">
        <v>2</v>
      </c>
      <c r="M123" s="1">
        <f t="shared" si="8"/>
        <v>-0.14479118861863227</v>
      </c>
      <c r="N123" s="1">
        <f t="shared" si="9"/>
        <v>-7.1363010555300588E-2</v>
      </c>
      <c r="O123" s="1">
        <f t="shared" si="10"/>
        <v>0.44171638366223043</v>
      </c>
      <c r="P123">
        <f t="shared" si="11"/>
        <v>84</v>
      </c>
      <c r="Q123">
        <f t="shared" si="12"/>
        <v>123</v>
      </c>
      <c r="R123">
        <f t="shared" si="13"/>
        <v>186</v>
      </c>
      <c r="S123">
        <f t="shared" si="14"/>
        <v>393</v>
      </c>
      <c r="T123">
        <f t="shared" si="15"/>
        <v>122</v>
      </c>
      <c r="U123" s="1" cm="1">
        <f t="array" ref="U123">MIN(ABS(M123:O123))</f>
        <v>7.1363010555300588E-2</v>
      </c>
    </row>
    <row r="124" spans="1:21" x14ac:dyDescent="0.35">
      <c r="A124" t="s">
        <v>140</v>
      </c>
      <c r="B124" s="2">
        <v>10.16</v>
      </c>
      <c r="C124" s="2">
        <v>8.93</v>
      </c>
      <c r="D124" s="2">
        <v>9.56</v>
      </c>
      <c r="E124" s="2">
        <v>13.28</v>
      </c>
      <c r="F124" s="2">
        <v>12.94</v>
      </c>
      <c r="G124">
        <v>0</v>
      </c>
      <c r="H124">
        <v>1</v>
      </c>
      <c r="I124">
        <v>5</v>
      </c>
      <c r="J124">
        <v>0</v>
      </c>
      <c r="K124">
        <v>0</v>
      </c>
      <c r="L124">
        <v>2</v>
      </c>
      <c r="M124" s="1">
        <f t="shared" si="8"/>
        <v>-0.12106299212598426</v>
      </c>
      <c r="N124" s="1">
        <f t="shared" si="9"/>
        <v>-5.9055118110236227E-2</v>
      </c>
      <c r="O124" s="1">
        <f t="shared" si="10"/>
        <v>0.30708661417322825</v>
      </c>
      <c r="P124">
        <f t="shared" si="11"/>
        <v>76</v>
      </c>
      <c r="Q124">
        <f t="shared" si="12"/>
        <v>121</v>
      </c>
      <c r="R124">
        <f t="shared" si="13"/>
        <v>202</v>
      </c>
      <c r="S124">
        <f t="shared" si="14"/>
        <v>399</v>
      </c>
      <c r="T124">
        <f t="shared" si="15"/>
        <v>123</v>
      </c>
      <c r="U124" s="1" cm="1">
        <f t="array" ref="U124">MIN(ABS(M124:O124))</f>
        <v>5.9055118110236227E-2</v>
      </c>
    </row>
    <row r="125" spans="1:21" x14ac:dyDescent="0.35">
      <c r="A125" t="s">
        <v>173</v>
      </c>
      <c r="B125" s="2">
        <v>10.47</v>
      </c>
      <c r="C125" s="2">
        <v>6.11</v>
      </c>
      <c r="D125" s="2">
        <v>8.1999999999999993</v>
      </c>
      <c r="E125" s="2">
        <v>26.48</v>
      </c>
      <c r="F125" s="2">
        <v>11.73</v>
      </c>
      <c r="G125">
        <v>2</v>
      </c>
      <c r="H125">
        <v>10</v>
      </c>
      <c r="I125">
        <v>18</v>
      </c>
      <c r="J125">
        <v>1</v>
      </c>
      <c r="K125">
        <v>5</v>
      </c>
      <c r="L125">
        <v>9</v>
      </c>
      <c r="M125" s="1">
        <f t="shared" si="8"/>
        <v>-0.41642788920725882</v>
      </c>
      <c r="N125" s="1">
        <f t="shared" si="9"/>
        <v>-0.21680993314231145</v>
      </c>
      <c r="O125" s="1">
        <f t="shared" si="10"/>
        <v>1.5291308500477552</v>
      </c>
      <c r="P125">
        <f t="shared" si="11"/>
        <v>158</v>
      </c>
      <c r="Q125">
        <f t="shared" si="12"/>
        <v>155</v>
      </c>
      <c r="R125">
        <f t="shared" si="13"/>
        <v>90</v>
      </c>
      <c r="S125">
        <f t="shared" si="14"/>
        <v>403</v>
      </c>
      <c r="T125">
        <f t="shared" si="15"/>
        <v>124</v>
      </c>
      <c r="U125" s="1" cm="1">
        <f t="array" ref="U125">MIN(ABS(M125:O125))</f>
        <v>0.21680993314231145</v>
      </c>
    </row>
    <row r="126" spans="1:21" x14ac:dyDescent="0.35">
      <c r="A126" t="s">
        <v>156</v>
      </c>
      <c r="B126" s="2">
        <v>371.95</v>
      </c>
      <c r="C126" s="2">
        <v>193.34</v>
      </c>
      <c r="D126" s="2">
        <v>313.23</v>
      </c>
      <c r="E126" s="2">
        <v>968.22</v>
      </c>
      <c r="F126" s="2">
        <v>10.53</v>
      </c>
      <c r="G126">
        <v>2</v>
      </c>
      <c r="H126">
        <v>8</v>
      </c>
      <c r="I126">
        <v>14</v>
      </c>
      <c r="J126">
        <v>0</v>
      </c>
      <c r="K126">
        <v>1</v>
      </c>
      <c r="L126">
        <v>2</v>
      </c>
      <c r="M126" s="1">
        <f t="shared" si="8"/>
        <v>-0.480198951471972</v>
      </c>
      <c r="N126" s="1">
        <f t="shared" si="9"/>
        <v>-0.15787068154321815</v>
      </c>
      <c r="O126" s="1">
        <f t="shared" si="10"/>
        <v>1.6030918134157819</v>
      </c>
      <c r="P126">
        <f t="shared" si="11"/>
        <v>188</v>
      </c>
      <c r="Q126">
        <f t="shared" si="12"/>
        <v>138</v>
      </c>
      <c r="R126">
        <f t="shared" si="13"/>
        <v>83</v>
      </c>
      <c r="S126">
        <f t="shared" si="14"/>
        <v>409</v>
      </c>
      <c r="T126">
        <f t="shared" si="15"/>
        <v>125</v>
      </c>
      <c r="U126" s="1" cm="1">
        <f t="array" ref="U126">MIN(ABS(M126:O126))</f>
        <v>0.15787068154321815</v>
      </c>
    </row>
    <row r="127" spans="1:21" x14ac:dyDescent="0.35">
      <c r="A127" t="s">
        <v>158</v>
      </c>
      <c r="B127" s="2">
        <v>73.87</v>
      </c>
      <c r="C127" s="2">
        <v>40.14</v>
      </c>
      <c r="D127" s="2">
        <v>61.6</v>
      </c>
      <c r="E127" s="2">
        <v>185.48</v>
      </c>
      <c r="F127" s="2">
        <v>11.17</v>
      </c>
      <c r="G127">
        <v>2</v>
      </c>
      <c r="H127">
        <v>8</v>
      </c>
      <c r="I127">
        <v>15</v>
      </c>
      <c r="J127">
        <v>0</v>
      </c>
      <c r="K127">
        <v>0</v>
      </c>
      <c r="L127">
        <v>2</v>
      </c>
      <c r="M127" s="1">
        <f t="shared" si="8"/>
        <v>-0.45661296872884805</v>
      </c>
      <c r="N127" s="1">
        <f t="shared" si="9"/>
        <v>-0.16610261269798299</v>
      </c>
      <c r="O127" s="1">
        <f t="shared" si="10"/>
        <v>1.5108975226749695</v>
      </c>
      <c r="P127">
        <f t="shared" si="11"/>
        <v>177</v>
      </c>
      <c r="Q127">
        <f t="shared" si="12"/>
        <v>140</v>
      </c>
      <c r="R127">
        <f t="shared" si="13"/>
        <v>92</v>
      </c>
      <c r="S127">
        <f t="shared" si="14"/>
        <v>409</v>
      </c>
      <c r="T127">
        <f t="shared" si="15"/>
        <v>125</v>
      </c>
      <c r="U127" s="1" cm="1">
        <f t="array" ref="U127">MIN(ABS(M127:O127))</f>
        <v>0.16610261269798299</v>
      </c>
    </row>
    <row r="128" spans="1:21" x14ac:dyDescent="0.35">
      <c r="A128" t="s">
        <v>146</v>
      </c>
      <c r="B128" s="2">
        <v>555.83000000000004</v>
      </c>
      <c r="C128" s="2">
        <v>390.02</v>
      </c>
      <c r="D128" s="2">
        <v>499.79</v>
      </c>
      <c r="E128" s="2">
        <v>880.68</v>
      </c>
      <c r="F128" s="2">
        <v>10.78</v>
      </c>
      <c r="G128">
        <v>1</v>
      </c>
      <c r="H128">
        <v>4</v>
      </c>
      <c r="I128">
        <v>7</v>
      </c>
      <c r="J128">
        <v>0</v>
      </c>
      <c r="K128">
        <v>0</v>
      </c>
      <c r="L128">
        <v>2</v>
      </c>
      <c r="M128" s="1">
        <f t="shared" si="8"/>
        <v>-0.29831063454653406</v>
      </c>
      <c r="N128" s="1">
        <f t="shared" si="9"/>
        <v>-0.10082219383624491</v>
      </c>
      <c r="O128" s="1">
        <f t="shared" si="10"/>
        <v>0.58444128600471346</v>
      </c>
      <c r="P128">
        <f t="shared" si="11"/>
        <v>115</v>
      </c>
      <c r="Q128">
        <f t="shared" si="12"/>
        <v>127</v>
      </c>
      <c r="R128">
        <f t="shared" si="13"/>
        <v>171</v>
      </c>
      <c r="S128">
        <f t="shared" si="14"/>
        <v>413</v>
      </c>
      <c r="T128">
        <f t="shared" si="15"/>
        <v>127</v>
      </c>
      <c r="U128" s="1" cm="1">
        <f t="array" ref="U128">MIN(ABS(M128:O128))</f>
        <v>0.10082219383624491</v>
      </c>
    </row>
    <row r="129" spans="1:21" x14ac:dyDescent="0.35">
      <c r="A129" t="s">
        <v>144</v>
      </c>
      <c r="B129" s="2">
        <v>20.34</v>
      </c>
      <c r="C129" s="2">
        <v>14.6</v>
      </c>
      <c r="D129" s="2">
        <v>18.43</v>
      </c>
      <c r="E129" s="2">
        <v>31.36</v>
      </c>
      <c r="F129" s="2">
        <v>12</v>
      </c>
      <c r="G129">
        <v>1</v>
      </c>
      <c r="H129">
        <v>3</v>
      </c>
      <c r="I129">
        <v>5</v>
      </c>
      <c r="J129">
        <v>0</v>
      </c>
      <c r="K129">
        <v>1</v>
      </c>
      <c r="L129">
        <v>2</v>
      </c>
      <c r="M129" s="1">
        <f t="shared" si="8"/>
        <v>-0.28220255653883974</v>
      </c>
      <c r="N129" s="1">
        <f t="shared" si="9"/>
        <v>-9.3903638151425772E-2</v>
      </c>
      <c r="O129" s="1">
        <f t="shared" si="10"/>
        <v>0.54178957718780718</v>
      </c>
      <c r="P129">
        <f t="shared" si="11"/>
        <v>113</v>
      </c>
      <c r="Q129">
        <f t="shared" si="12"/>
        <v>125</v>
      </c>
      <c r="R129">
        <f t="shared" si="13"/>
        <v>177</v>
      </c>
      <c r="S129">
        <f t="shared" si="14"/>
        <v>415</v>
      </c>
      <c r="T129">
        <f t="shared" si="15"/>
        <v>128</v>
      </c>
      <c r="U129" s="1" cm="1">
        <f t="array" ref="U129">MIN(ABS(M129:O129))</f>
        <v>9.3903638151425772E-2</v>
      </c>
    </row>
    <row r="130" spans="1:21" x14ac:dyDescent="0.35">
      <c r="A130" t="s">
        <v>149</v>
      </c>
      <c r="B130" s="2">
        <v>193.04</v>
      </c>
      <c r="C130" s="2">
        <v>78.91</v>
      </c>
      <c r="D130" s="2">
        <v>170.98</v>
      </c>
      <c r="E130" s="2">
        <v>832.08</v>
      </c>
      <c r="F130" s="2">
        <v>9.76</v>
      </c>
      <c r="G130">
        <v>2</v>
      </c>
      <c r="H130">
        <v>10</v>
      </c>
      <c r="I130">
        <v>18</v>
      </c>
      <c r="J130">
        <v>0</v>
      </c>
      <c r="K130">
        <v>1</v>
      </c>
      <c r="L130">
        <v>2</v>
      </c>
      <c r="M130" s="1">
        <f t="shared" ref="M130:M193" si="16">C130/$B130-1</f>
        <v>-0.59122461665975967</v>
      </c>
      <c r="N130" s="1">
        <f t="shared" ref="N130:N193" si="17">D130/$B130-1</f>
        <v>-0.11427683381682552</v>
      </c>
      <c r="O130" s="1">
        <f t="shared" ref="O130:O193" si="18">E130/$B130-1</f>
        <v>3.3104019892250314</v>
      </c>
      <c r="P130">
        <f t="shared" ref="P130:P193" si="19">_xlfn.RANK.EQ(M130,M$2:M$564)</f>
        <v>248</v>
      </c>
      <c r="Q130">
        <f t="shared" ref="Q130:Q193" si="20">_xlfn.RANK.EQ(N130,N$2:N$564)</f>
        <v>130</v>
      </c>
      <c r="R130">
        <f t="shared" ref="R130:R193" si="21">_xlfn.RANK.EQ(O130,O$2:O$564)</f>
        <v>42</v>
      </c>
      <c r="S130">
        <f t="shared" ref="S130:S193" si="22">SUM(P130:R130)</f>
        <v>420</v>
      </c>
      <c r="T130">
        <f t="shared" ref="T130:T193" si="23">_xlfn.RANK.EQ(S130,S$2:S$564, 1)</f>
        <v>129</v>
      </c>
      <c r="U130" s="1" cm="1">
        <f t="array" ref="U130">MIN(ABS(M130:O130))</f>
        <v>0.11427683381682552</v>
      </c>
    </row>
    <row r="131" spans="1:21" x14ac:dyDescent="0.35">
      <c r="A131" t="s">
        <v>143</v>
      </c>
      <c r="B131" s="2">
        <v>21.66</v>
      </c>
      <c r="C131" s="2">
        <v>8.2100000000000009</v>
      </c>
      <c r="D131" s="2">
        <v>19.899999999999999</v>
      </c>
      <c r="E131" s="2">
        <v>122.37</v>
      </c>
      <c r="F131" s="2">
        <v>12.89</v>
      </c>
      <c r="G131">
        <v>2</v>
      </c>
      <c r="H131">
        <v>10</v>
      </c>
      <c r="I131">
        <v>18</v>
      </c>
      <c r="J131">
        <v>0</v>
      </c>
      <c r="K131">
        <v>0</v>
      </c>
      <c r="L131">
        <v>2</v>
      </c>
      <c r="M131" s="1">
        <f t="shared" si="16"/>
        <v>-0.62096029547553089</v>
      </c>
      <c r="N131" s="1">
        <f t="shared" si="17"/>
        <v>-8.125577100646364E-2</v>
      </c>
      <c r="O131" s="1">
        <f t="shared" si="18"/>
        <v>4.6495844875346259</v>
      </c>
      <c r="P131">
        <f t="shared" si="19"/>
        <v>271</v>
      </c>
      <c r="Q131">
        <f t="shared" si="20"/>
        <v>124</v>
      </c>
      <c r="R131">
        <f t="shared" si="21"/>
        <v>27</v>
      </c>
      <c r="S131">
        <f t="shared" si="22"/>
        <v>422</v>
      </c>
      <c r="T131">
        <f t="shared" si="23"/>
        <v>130</v>
      </c>
      <c r="U131" s="1" cm="1">
        <f t="array" ref="U131">MIN(ABS(M131:O131))</f>
        <v>8.125577100646364E-2</v>
      </c>
    </row>
    <row r="132" spans="1:21" x14ac:dyDescent="0.35">
      <c r="A132" t="s">
        <v>150</v>
      </c>
      <c r="B132" s="2">
        <v>29.48</v>
      </c>
      <c r="C132" s="2">
        <v>15.12</v>
      </c>
      <c r="D132" s="2">
        <v>25.67</v>
      </c>
      <c r="E132" s="2">
        <v>71.709999999999994</v>
      </c>
      <c r="F132" s="2">
        <v>11.15</v>
      </c>
      <c r="G132">
        <v>1</v>
      </c>
      <c r="H132">
        <v>6</v>
      </c>
      <c r="I132">
        <v>11</v>
      </c>
      <c r="J132">
        <v>0</v>
      </c>
      <c r="K132">
        <v>0</v>
      </c>
      <c r="L132">
        <v>2</v>
      </c>
      <c r="M132" s="1">
        <f t="shared" si="16"/>
        <v>-0.48710990502035278</v>
      </c>
      <c r="N132" s="1">
        <f t="shared" si="17"/>
        <v>-0.12924016282225237</v>
      </c>
      <c r="O132" s="1">
        <f t="shared" si="18"/>
        <v>1.4324966078697421</v>
      </c>
      <c r="P132">
        <f t="shared" si="19"/>
        <v>195</v>
      </c>
      <c r="Q132">
        <f t="shared" si="20"/>
        <v>131</v>
      </c>
      <c r="R132">
        <f t="shared" si="21"/>
        <v>96</v>
      </c>
      <c r="S132">
        <f t="shared" si="22"/>
        <v>422</v>
      </c>
      <c r="T132">
        <f t="shared" si="23"/>
        <v>130</v>
      </c>
      <c r="U132" s="1" cm="1">
        <f t="array" ref="U132">MIN(ABS(M132:O132))</f>
        <v>0.12924016282225237</v>
      </c>
    </row>
    <row r="133" spans="1:21" x14ac:dyDescent="0.35">
      <c r="A133" t="s">
        <v>150</v>
      </c>
      <c r="B133" s="2">
        <v>29.48</v>
      </c>
      <c r="C133" s="2">
        <v>15.12</v>
      </c>
      <c r="D133" s="2">
        <v>25.67</v>
      </c>
      <c r="E133" s="2">
        <v>71.709999999999994</v>
      </c>
      <c r="F133" s="2">
        <v>11.15</v>
      </c>
      <c r="G133">
        <v>1</v>
      </c>
      <c r="H133">
        <v>6</v>
      </c>
      <c r="I133">
        <v>11</v>
      </c>
      <c r="J133">
        <v>0</v>
      </c>
      <c r="K133">
        <v>0</v>
      </c>
      <c r="L133">
        <v>2</v>
      </c>
      <c r="M133" s="1">
        <f t="shared" si="16"/>
        <v>-0.48710990502035278</v>
      </c>
      <c r="N133" s="1">
        <f t="shared" si="17"/>
        <v>-0.12924016282225237</v>
      </c>
      <c r="O133" s="1">
        <f t="shared" si="18"/>
        <v>1.4324966078697421</v>
      </c>
      <c r="P133">
        <f t="shared" si="19"/>
        <v>195</v>
      </c>
      <c r="Q133">
        <f t="shared" si="20"/>
        <v>131</v>
      </c>
      <c r="R133">
        <f t="shared" si="21"/>
        <v>96</v>
      </c>
      <c r="S133">
        <f t="shared" si="22"/>
        <v>422</v>
      </c>
      <c r="T133">
        <f t="shared" si="23"/>
        <v>130</v>
      </c>
      <c r="U133" s="1" cm="1">
        <f t="array" ref="U133">MIN(ABS(M133:O133))</f>
        <v>0.12924016282225237</v>
      </c>
    </row>
    <row r="134" spans="1:21" x14ac:dyDescent="0.35">
      <c r="A134" t="s">
        <v>148</v>
      </c>
      <c r="B134" s="2">
        <v>514.13</v>
      </c>
      <c r="C134" s="2">
        <v>398.12</v>
      </c>
      <c r="D134" s="2">
        <v>457.07</v>
      </c>
      <c r="E134" s="2">
        <v>720.78</v>
      </c>
      <c r="F134" s="2">
        <v>8.09</v>
      </c>
      <c r="G134">
        <v>0</v>
      </c>
      <c r="H134">
        <v>1</v>
      </c>
      <c r="I134">
        <v>5</v>
      </c>
      <c r="J134">
        <v>0</v>
      </c>
      <c r="K134">
        <v>2</v>
      </c>
      <c r="L134">
        <v>3</v>
      </c>
      <c r="M134" s="1">
        <f t="shared" si="16"/>
        <v>-0.22564331978293428</v>
      </c>
      <c r="N134" s="1">
        <f t="shared" si="17"/>
        <v>-0.11098360336879776</v>
      </c>
      <c r="O134" s="1">
        <f t="shared" si="18"/>
        <v>0.40194114329060748</v>
      </c>
      <c r="P134">
        <f t="shared" si="19"/>
        <v>100</v>
      </c>
      <c r="Q134">
        <f t="shared" si="20"/>
        <v>129</v>
      </c>
      <c r="R134">
        <f t="shared" si="21"/>
        <v>195</v>
      </c>
      <c r="S134">
        <f t="shared" si="22"/>
        <v>424</v>
      </c>
      <c r="T134">
        <f t="shared" si="23"/>
        <v>133</v>
      </c>
      <c r="U134" s="1" cm="1">
        <f t="array" ref="U134">MIN(ABS(M134:O134))</f>
        <v>0.11098360336879776</v>
      </c>
    </row>
    <row r="135" spans="1:21" x14ac:dyDescent="0.35">
      <c r="A135" t="s">
        <v>147</v>
      </c>
      <c r="B135" s="2">
        <v>21.81</v>
      </c>
      <c r="C135" s="2">
        <v>19.91</v>
      </c>
      <c r="D135" s="2">
        <v>19.399999999999999</v>
      </c>
      <c r="E135" s="2">
        <v>25.53</v>
      </c>
      <c r="F135" s="2">
        <v>12.51</v>
      </c>
      <c r="G135">
        <v>-3</v>
      </c>
      <c r="H135">
        <v>1</v>
      </c>
      <c r="I135">
        <v>5</v>
      </c>
      <c r="J135">
        <v>0</v>
      </c>
      <c r="K135">
        <v>0</v>
      </c>
      <c r="L135">
        <v>2</v>
      </c>
      <c r="M135" s="1">
        <f t="shared" si="16"/>
        <v>-8.7116001834021017E-2</v>
      </c>
      <c r="N135" s="1">
        <f t="shared" si="17"/>
        <v>-0.11049977074736361</v>
      </c>
      <c r="O135" s="1">
        <f t="shared" si="18"/>
        <v>0.17056396148555719</v>
      </c>
      <c r="P135">
        <f t="shared" si="19"/>
        <v>69</v>
      </c>
      <c r="Q135">
        <f t="shared" si="20"/>
        <v>128</v>
      </c>
      <c r="R135">
        <f t="shared" si="21"/>
        <v>229</v>
      </c>
      <c r="S135">
        <f t="shared" si="22"/>
        <v>426</v>
      </c>
      <c r="T135">
        <f t="shared" si="23"/>
        <v>134</v>
      </c>
      <c r="U135" s="1" cm="1">
        <f t="array" ref="U135">MIN(ABS(M135:O135))</f>
        <v>8.7116001834021017E-2</v>
      </c>
    </row>
    <row r="136" spans="1:21" x14ac:dyDescent="0.35">
      <c r="A136" t="s">
        <v>154</v>
      </c>
      <c r="B136" s="2">
        <v>10.119999999999999</v>
      </c>
      <c r="C136" s="2">
        <v>7.74</v>
      </c>
      <c r="D136" s="2">
        <v>8.56</v>
      </c>
      <c r="E136" s="2">
        <v>14.32</v>
      </c>
      <c r="F136" s="2">
        <v>12.91</v>
      </c>
      <c r="G136">
        <v>0</v>
      </c>
      <c r="H136">
        <v>1</v>
      </c>
      <c r="I136">
        <v>5</v>
      </c>
      <c r="J136">
        <v>0</v>
      </c>
      <c r="K136">
        <v>0</v>
      </c>
      <c r="L136">
        <v>2</v>
      </c>
      <c r="M136" s="1">
        <f t="shared" si="16"/>
        <v>-0.2351778656126482</v>
      </c>
      <c r="N136" s="1">
        <f t="shared" si="17"/>
        <v>-0.15415019762845839</v>
      </c>
      <c r="O136" s="1">
        <f t="shared" si="18"/>
        <v>0.41501976284584985</v>
      </c>
      <c r="P136">
        <f t="shared" si="19"/>
        <v>102</v>
      </c>
      <c r="Q136">
        <f t="shared" si="20"/>
        <v>136</v>
      </c>
      <c r="R136">
        <f t="shared" si="21"/>
        <v>191</v>
      </c>
      <c r="S136">
        <f t="shared" si="22"/>
        <v>429</v>
      </c>
      <c r="T136">
        <f t="shared" si="23"/>
        <v>135</v>
      </c>
      <c r="U136" s="1" cm="1">
        <f t="array" ref="U136">MIN(ABS(M136:O136))</f>
        <v>0.15415019762845839</v>
      </c>
    </row>
    <row r="137" spans="1:21" x14ac:dyDescent="0.35">
      <c r="A137" t="s">
        <v>152</v>
      </c>
      <c r="B137" s="2">
        <v>66.08</v>
      </c>
      <c r="C137" s="2">
        <v>54.59</v>
      </c>
      <c r="D137" s="2">
        <v>56.77</v>
      </c>
      <c r="E137" s="2">
        <v>85</v>
      </c>
      <c r="F137" s="2">
        <v>9.0299999999999994</v>
      </c>
      <c r="G137">
        <v>-2</v>
      </c>
      <c r="H137">
        <v>1</v>
      </c>
      <c r="I137">
        <v>5</v>
      </c>
      <c r="J137">
        <v>0</v>
      </c>
      <c r="K137">
        <v>1</v>
      </c>
      <c r="L137">
        <v>2</v>
      </c>
      <c r="M137" s="1">
        <f t="shared" si="16"/>
        <v>-0.1738801452784503</v>
      </c>
      <c r="N137" s="1">
        <f t="shared" si="17"/>
        <v>-0.14088983050847448</v>
      </c>
      <c r="O137" s="1">
        <f t="shared" si="18"/>
        <v>0.28631961259079897</v>
      </c>
      <c r="P137">
        <f t="shared" si="19"/>
        <v>93</v>
      </c>
      <c r="Q137">
        <f t="shared" si="20"/>
        <v>134</v>
      </c>
      <c r="R137">
        <f t="shared" si="21"/>
        <v>205</v>
      </c>
      <c r="S137">
        <f t="shared" si="22"/>
        <v>432</v>
      </c>
      <c r="T137">
        <f t="shared" si="23"/>
        <v>136</v>
      </c>
      <c r="U137" s="1" cm="1">
        <f t="array" ref="U137">MIN(ABS(M137:O137))</f>
        <v>0.14088983050847448</v>
      </c>
    </row>
    <row r="138" spans="1:21" x14ac:dyDescent="0.35">
      <c r="A138" t="s">
        <v>155</v>
      </c>
      <c r="B138" s="2">
        <v>225.69</v>
      </c>
      <c r="C138" s="2">
        <v>173.34</v>
      </c>
      <c r="D138" s="2">
        <v>190.76</v>
      </c>
      <c r="E138" s="2">
        <v>317.77</v>
      </c>
      <c r="F138" s="2">
        <v>12.26</v>
      </c>
      <c r="G138">
        <v>0</v>
      </c>
      <c r="H138">
        <v>1</v>
      </c>
      <c r="I138">
        <v>5</v>
      </c>
      <c r="J138">
        <v>0</v>
      </c>
      <c r="K138">
        <v>0</v>
      </c>
      <c r="L138">
        <v>2</v>
      </c>
      <c r="M138" s="1">
        <f t="shared" si="16"/>
        <v>-0.23195533696663562</v>
      </c>
      <c r="N138" s="1">
        <f t="shared" si="17"/>
        <v>-0.1547698170056272</v>
      </c>
      <c r="O138" s="1">
        <f t="shared" si="18"/>
        <v>0.40799326509814349</v>
      </c>
      <c r="P138">
        <f t="shared" si="19"/>
        <v>101</v>
      </c>
      <c r="Q138">
        <f t="shared" si="20"/>
        <v>137</v>
      </c>
      <c r="R138">
        <f t="shared" si="21"/>
        <v>194</v>
      </c>
      <c r="S138">
        <f t="shared" si="22"/>
        <v>432</v>
      </c>
      <c r="T138">
        <f t="shared" si="23"/>
        <v>136</v>
      </c>
      <c r="U138" s="1" cm="1">
        <f t="array" ref="U138">MIN(ABS(M138:O138))</f>
        <v>0.1547698170056272</v>
      </c>
    </row>
    <row r="139" spans="1:21" x14ac:dyDescent="0.35">
      <c r="A139" t="s">
        <v>151</v>
      </c>
      <c r="B139" s="2">
        <v>43</v>
      </c>
      <c r="C139" s="2">
        <v>30.35</v>
      </c>
      <c r="D139" s="2">
        <v>37.36</v>
      </c>
      <c r="E139" s="2">
        <v>61.39</v>
      </c>
      <c r="F139" s="2">
        <v>11.7</v>
      </c>
      <c r="G139">
        <v>1</v>
      </c>
      <c r="H139">
        <v>3</v>
      </c>
      <c r="I139">
        <v>5</v>
      </c>
      <c r="J139">
        <v>0</v>
      </c>
      <c r="K139">
        <v>0</v>
      </c>
      <c r="L139">
        <v>2</v>
      </c>
      <c r="M139" s="1">
        <f t="shared" si="16"/>
        <v>-0.29418604651162783</v>
      </c>
      <c r="N139" s="1">
        <f t="shared" si="17"/>
        <v>-0.13116279069767445</v>
      </c>
      <c r="O139" s="1">
        <f t="shared" si="18"/>
        <v>0.42767441860465127</v>
      </c>
      <c r="P139">
        <f t="shared" si="19"/>
        <v>114</v>
      </c>
      <c r="Q139">
        <f t="shared" si="20"/>
        <v>133</v>
      </c>
      <c r="R139">
        <f t="shared" si="21"/>
        <v>188</v>
      </c>
      <c r="S139">
        <f t="shared" si="22"/>
        <v>435</v>
      </c>
      <c r="T139">
        <f t="shared" si="23"/>
        <v>138</v>
      </c>
      <c r="U139" s="1" cm="1">
        <f t="array" ref="U139">MIN(ABS(M139:O139))</f>
        <v>0.13116279069767445</v>
      </c>
    </row>
    <row r="140" spans="1:21" x14ac:dyDescent="0.35">
      <c r="A140" t="s">
        <v>159</v>
      </c>
      <c r="B140" s="2">
        <v>26.67</v>
      </c>
      <c r="C140" s="2">
        <v>22.32</v>
      </c>
      <c r="D140" s="2">
        <v>22.09</v>
      </c>
      <c r="E140" s="2">
        <v>33.61</v>
      </c>
      <c r="F140" s="2">
        <v>12.51</v>
      </c>
      <c r="G140">
        <v>-2</v>
      </c>
      <c r="H140">
        <v>1</v>
      </c>
      <c r="I140">
        <v>5</v>
      </c>
      <c r="J140">
        <v>0</v>
      </c>
      <c r="K140">
        <v>0</v>
      </c>
      <c r="L140">
        <v>2</v>
      </c>
      <c r="M140" s="1">
        <f t="shared" si="16"/>
        <v>-0.16310461192350956</v>
      </c>
      <c r="N140" s="1">
        <f t="shared" si="17"/>
        <v>-0.17172853393325838</v>
      </c>
      <c r="O140" s="1">
        <f t="shared" si="18"/>
        <v>0.26021747281589791</v>
      </c>
      <c r="P140">
        <f t="shared" si="19"/>
        <v>87</v>
      </c>
      <c r="Q140">
        <f t="shared" si="20"/>
        <v>141</v>
      </c>
      <c r="R140">
        <f t="shared" si="21"/>
        <v>210</v>
      </c>
      <c r="S140">
        <f t="shared" si="22"/>
        <v>438</v>
      </c>
      <c r="T140">
        <f t="shared" si="23"/>
        <v>139</v>
      </c>
      <c r="U140" s="1" cm="1">
        <f t="array" ref="U140">MIN(ABS(M140:O140))</f>
        <v>0.16310461192350956</v>
      </c>
    </row>
    <row r="141" spans="1:21" x14ac:dyDescent="0.35">
      <c r="A141" t="s">
        <v>145</v>
      </c>
      <c r="B141" s="2">
        <v>604.78</v>
      </c>
      <c r="C141" s="2">
        <v>228.31</v>
      </c>
      <c r="D141" s="2">
        <v>545.34</v>
      </c>
      <c r="E141" s="2">
        <v>2749.47</v>
      </c>
      <c r="F141" s="2">
        <v>6.22</v>
      </c>
      <c r="G141">
        <v>2</v>
      </c>
      <c r="H141">
        <v>10</v>
      </c>
      <c r="I141">
        <v>18</v>
      </c>
      <c r="J141">
        <v>0</v>
      </c>
      <c r="K141">
        <v>2</v>
      </c>
      <c r="L141">
        <v>3</v>
      </c>
      <c r="M141" s="1">
        <f t="shared" si="16"/>
        <v>-0.62249082310922976</v>
      </c>
      <c r="N141" s="1">
        <f t="shared" si="17"/>
        <v>-9.8283673401898142E-2</v>
      </c>
      <c r="O141" s="1">
        <f t="shared" si="18"/>
        <v>3.5462316875558049</v>
      </c>
      <c r="P141">
        <f t="shared" si="19"/>
        <v>274</v>
      </c>
      <c r="Q141">
        <f t="shared" si="20"/>
        <v>126</v>
      </c>
      <c r="R141">
        <f t="shared" si="21"/>
        <v>40</v>
      </c>
      <c r="S141">
        <f t="shared" si="22"/>
        <v>440</v>
      </c>
      <c r="T141">
        <f t="shared" si="23"/>
        <v>140</v>
      </c>
      <c r="U141" s="1" cm="1">
        <f t="array" ref="U141">MIN(ABS(M141:O141))</f>
        <v>9.8283673401898142E-2</v>
      </c>
    </row>
    <row r="142" spans="1:21" x14ac:dyDescent="0.35">
      <c r="A142" t="s">
        <v>153</v>
      </c>
      <c r="B142" s="2">
        <v>221.5</v>
      </c>
      <c r="C142" s="2">
        <v>162.12</v>
      </c>
      <c r="D142" s="2">
        <v>188.47</v>
      </c>
      <c r="E142" s="2">
        <v>296.24</v>
      </c>
      <c r="F142" s="2">
        <v>10.01</v>
      </c>
      <c r="G142">
        <v>0</v>
      </c>
      <c r="H142">
        <v>2</v>
      </c>
      <c r="I142">
        <v>5</v>
      </c>
      <c r="J142">
        <v>0</v>
      </c>
      <c r="K142">
        <v>1</v>
      </c>
      <c r="L142">
        <v>2</v>
      </c>
      <c r="M142" s="1">
        <f t="shared" si="16"/>
        <v>-0.26808126410835209</v>
      </c>
      <c r="N142" s="1">
        <f t="shared" si="17"/>
        <v>-0.14911963882618506</v>
      </c>
      <c r="O142" s="1">
        <f t="shared" si="18"/>
        <v>0.33742663656884875</v>
      </c>
      <c r="P142">
        <f t="shared" si="19"/>
        <v>106</v>
      </c>
      <c r="Q142">
        <f t="shared" si="20"/>
        <v>135</v>
      </c>
      <c r="R142">
        <f t="shared" si="21"/>
        <v>199</v>
      </c>
      <c r="S142">
        <f t="shared" si="22"/>
        <v>440</v>
      </c>
      <c r="T142">
        <f t="shared" si="23"/>
        <v>140</v>
      </c>
      <c r="U142" s="1" cm="1">
        <f t="array" ref="U142">MIN(ABS(M142:O142))</f>
        <v>0.14911963882618506</v>
      </c>
    </row>
    <row r="143" spans="1:21" x14ac:dyDescent="0.35">
      <c r="A143" t="s">
        <v>169</v>
      </c>
      <c r="B143" s="2">
        <v>65.319999999999993</v>
      </c>
      <c r="C143" s="2">
        <v>52.63</v>
      </c>
      <c r="D143" s="2">
        <v>51.66</v>
      </c>
      <c r="E143" s="2">
        <v>84.04</v>
      </c>
      <c r="F143" s="2">
        <v>12.84</v>
      </c>
      <c r="G143">
        <v>-3</v>
      </c>
      <c r="H143">
        <v>1</v>
      </c>
      <c r="I143">
        <v>5</v>
      </c>
      <c r="J143">
        <v>0</v>
      </c>
      <c r="K143">
        <v>0</v>
      </c>
      <c r="L143">
        <v>2</v>
      </c>
      <c r="M143" s="1">
        <f t="shared" si="16"/>
        <v>-0.19427434170238811</v>
      </c>
      <c r="N143" s="1">
        <f t="shared" si="17"/>
        <v>-0.20912431108389462</v>
      </c>
      <c r="O143" s="1">
        <f t="shared" si="18"/>
        <v>0.28658909981628922</v>
      </c>
      <c r="P143">
        <f t="shared" si="19"/>
        <v>97</v>
      </c>
      <c r="Q143">
        <f t="shared" si="20"/>
        <v>151</v>
      </c>
      <c r="R143">
        <f t="shared" si="21"/>
        <v>204</v>
      </c>
      <c r="S143">
        <f t="shared" si="22"/>
        <v>452</v>
      </c>
      <c r="T143">
        <f t="shared" si="23"/>
        <v>142</v>
      </c>
      <c r="U143" s="1" cm="1">
        <f t="array" ref="U143">MIN(ABS(M143:O143))</f>
        <v>0.19427434170238811</v>
      </c>
    </row>
    <row r="144" spans="1:21" x14ac:dyDescent="0.35">
      <c r="A144" t="s">
        <v>164</v>
      </c>
      <c r="B144" s="2">
        <v>71.34</v>
      </c>
      <c r="C144" s="2">
        <v>59.05</v>
      </c>
      <c r="D144" s="2">
        <v>57.96</v>
      </c>
      <c r="E144" s="2">
        <v>87.46</v>
      </c>
      <c r="F144" s="2">
        <v>12.7</v>
      </c>
      <c r="G144">
        <v>-3</v>
      </c>
      <c r="H144">
        <v>1</v>
      </c>
      <c r="I144">
        <v>5</v>
      </c>
      <c r="J144">
        <v>0</v>
      </c>
      <c r="K144">
        <v>0</v>
      </c>
      <c r="L144">
        <v>2</v>
      </c>
      <c r="M144" s="1">
        <f t="shared" si="16"/>
        <v>-0.17227361928791707</v>
      </c>
      <c r="N144" s="1">
        <f t="shared" si="17"/>
        <v>-0.1875525651808243</v>
      </c>
      <c r="O144" s="1">
        <f t="shared" si="18"/>
        <v>0.22596019063638906</v>
      </c>
      <c r="P144">
        <f t="shared" si="19"/>
        <v>92</v>
      </c>
      <c r="Q144">
        <f t="shared" si="20"/>
        <v>146</v>
      </c>
      <c r="R144">
        <f t="shared" si="21"/>
        <v>217</v>
      </c>
      <c r="S144">
        <f t="shared" si="22"/>
        <v>455</v>
      </c>
      <c r="T144">
        <f t="shared" si="23"/>
        <v>143</v>
      </c>
      <c r="U144" s="1" cm="1">
        <f t="array" ref="U144">MIN(ABS(M144:O144))</f>
        <v>0.17227361928791707</v>
      </c>
    </row>
    <row r="145" spans="1:21" x14ac:dyDescent="0.35">
      <c r="A145" t="s">
        <v>160</v>
      </c>
      <c r="B145" s="2">
        <v>578.66</v>
      </c>
      <c r="C145" s="2">
        <v>296.98</v>
      </c>
      <c r="D145" s="2">
        <v>478.79</v>
      </c>
      <c r="E145" s="2">
        <v>1167.57</v>
      </c>
      <c r="F145" s="2">
        <v>6</v>
      </c>
      <c r="G145">
        <v>1</v>
      </c>
      <c r="H145">
        <v>6</v>
      </c>
      <c r="I145">
        <v>10</v>
      </c>
      <c r="J145">
        <v>0</v>
      </c>
      <c r="K145">
        <v>2</v>
      </c>
      <c r="L145">
        <v>4</v>
      </c>
      <c r="M145" s="1">
        <f t="shared" si="16"/>
        <v>-0.48677980161061762</v>
      </c>
      <c r="N145" s="1">
        <f t="shared" si="17"/>
        <v>-0.1725883938755054</v>
      </c>
      <c r="O145" s="1">
        <f t="shared" si="18"/>
        <v>1.0177133377112639</v>
      </c>
      <c r="P145">
        <f t="shared" si="19"/>
        <v>192</v>
      </c>
      <c r="Q145">
        <f t="shared" si="20"/>
        <v>142</v>
      </c>
      <c r="R145">
        <f t="shared" si="21"/>
        <v>122</v>
      </c>
      <c r="S145">
        <f t="shared" si="22"/>
        <v>456</v>
      </c>
      <c r="T145">
        <f t="shared" si="23"/>
        <v>144</v>
      </c>
      <c r="U145" s="1" cm="1">
        <f t="array" ref="U145">MIN(ABS(M145:O145))</f>
        <v>0.1725883938755054</v>
      </c>
    </row>
    <row r="146" spans="1:21" x14ac:dyDescent="0.35">
      <c r="A146" t="s">
        <v>171</v>
      </c>
      <c r="B146" s="2">
        <v>6.46</v>
      </c>
      <c r="C146" s="2">
        <v>4.4800000000000004</v>
      </c>
      <c r="D146" s="2">
        <v>5.0999999999999996</v>
      </c>
      <c r="E146" s="2">
        <v>9.1999999999999993</v>
      </c>
      <c r="F146" s="2">
        <v>12.76</v>
      </c>
      <c r="G146">
        <v>0</v>
      </c>
      <c r="H146">
        <v>1</v>
      </c>
      <c r="I146">
        <v>5</v>
      </c>
      <c r="J146">
        <v>0</v>
      </c>
      <c r="K146">
        <v>0</v>
      </c>
      <c r="L146">
        <v>2</v>
      </c>
      <c r="M146" s="1">
        <f t="shared" si="16"/>
        <v>-0.30650154798761597</v>
      </c>
      <c r="N146" s="1">
        <f t="shared" si="17"/>
        <v>-0.21052631578947378</v>
      </c>
      <c r="O146" s="1">
        <f t="shared" si="18"/>
        <v>0.4241486068111453</v>
      </c>
      <c r="P146">
        <f t="shared" si="19"/>
        <v>118</v>
      </c>
      <c r="Q146">
        <f t="shared" si="20"/>
        <v>153</v>
      </c>
      <c r="R146">
        <f t="shared" si="21"/>
        <v>190</v>
      </c>
      <c r="S146">
        <f t="shared" si="22"/>
        <v>461</v>
      </c>
      <c r="T146">
        <f t="shared" si="23"/>
        <v>145</v>
      </c>
      <c r="U146" s="1" cm="1">
        <f t="array" ref="U146">MIN(ABS(M146:O146))</f>
        <v>0.21052631578947378</v>
      </c>
    </row>
    <row r="147" spans="1:21" x14ac:dyDescent="0.35">
      <c r="A147" t="s">
        <v>161</v>
      </c>
      <c r="B147" s="2">
        <v>37.770000000000003</v>
      </c>
      <c r="C147" s="2">
        <v>27.62</v>
      </c>
      <c r="D147" s="2">
        <v>30.96</v>
      </c>
      <c r="E147" s="2">
        <v>46.06</v>
      </c>
      <c r="F147" s="2">
        <v>11.1</v>
      </c>
      <c r="G147">
        <v>0</v>
      </c>
      <c r="H147">
        <v>2</v>
      </c>
      <c r="I147">
        <v>5</v>
      </c>
      <c r="J147">
        <v>0</v>
      </c>
      <c r="K147">
        <v>1</v>
      </c>
      <c r="L147">
        <v>2</v>
      </c>
      <c r="M147" s="1">
        <f t="shared" si="16"/>
        <v>-0.26873179772306066</v>
      </c>
      <c r="N147" s="1">
        <f t="shared" si="17"/>
        <v>-0.18030182684670382</v>
      </c>
      <c r="O147" s="1">
        <f t="shared" si="18"/>
        <v>0.21948636483981998</v>
      </c>
      <c r="P147">
        <f t="shared" si="19"/>
        <v>107</v>
      </c>
      <c r="Q147">
        <f t="shared" si="20"/>
        <v>143</v>
      </c>
      <c r="R147">
        <f t="shared" si="21"/>
        <v>218</v>
      </c>
      <c r="S147">
        <f t="shared" si="22"/>
        <v>468</v>
      </c>
      <c r="T147">
        <f t="shared" si="23"/>
        <v>146</v>
      </c>
      <c r="U147" s="1" cm="1">
        <f t="array" ref="U147">MIN(ABS(M147:O147))</f>
        <v>0.18030182684670382</v>
      </c>
    </row>
    <row r="148" spans="1:21" x14ac:dyDescent="0.35">
      <c r="A148" t="s">
        <v>166</v>
      </c>
      <c r="B148" s="2">
        <v>46.92</v>
      </c>
      <c r="C148" s="2">
        <v>28.03</v>
      </c>
      <c r="D148" s="2">
        <v>37.67</v>
      </c>
      <c r="E148" s="2">
        <v>75.11</v>
      </c>
      <c r="F148" s="2">
        <v>11.52</v>
      </c>
      <c r="G148">
        <v>1</v>
      </c>
      <c r="H148">
        <v>4</v>
      </c>
      <c r="I148">
        <v>7</v>
      </c>
      <c r="J148">
        <v>0</v>
      </c>
      <c r="K148">
        <v>0</v>
      </c>
      <c r="L148">
        <v>2</v>
      </c>
      <c r="M148" s="1">
        <f t="shared" si="16"/>
        <v>-0.4026001705029838</v>
      </c>
      <c r="N148" s="1">
        <f t="shared" si="17"/>
        <v>-0.19714407502131281</v>
      </c>
      <c r="O148" s="1">
        <f t="shared" si="18"/>
        <v>0.60080988917306044</v>
      </c>
      <c r="P148">
        <f t="shared" si="19"/>
        <v>153</v>
      </c>
      <c r="Q148">
        <f t="shared" si="20"/>
        <v>148</v>
      </c>
      <c r="R148">
        <f t="shared" si="21"/>
        <v>168</v>
      </c>
      <c r="S148">
        <f t="shared" si="22"/>
        <v>469</v>
      </c>
      <c r="T148">
        <f t="shared" si="23"/>
        <v>147</v>
      </c>
      <c r="U148" s="1" cm="1">
        <f t="array" ref="U148">MIN(ABS(M148:O148))</f>
        <v>0.19714407502131281</v>
      </c>
    </row>
    <row r="149" spans="1:21" x14ac:dyDescent="0.35">
      <c r="A149" t="s">
        <v>157</v>
      </c>
      <c r="B149" s="2">
        <v>170.76</v>
      </c>
      <c r="C149" s="2">
        <v>60.75</v>
      </c>
      <c r="D149" s="2">
        <v>143.30000000000001</v>
      </c>
      <c r="E149" s="2">
        <v>715.66</v>
      </c>
      <c r="F149" s="2">
        <v>6</v>
      </c>
      <c r="G149">
        <v>2</v>
      </c>
      <c r="H149">
        <v>10</v>
      </c>
      <c r="I149">
        <v>18</v>
      </c>
      <c r="J149">
        <v>1</v>
      </c>
      <c r="K149">
        <v>3</v>
      </c>
      <c r="L149">
        <v>6</v>
      </c>
      <c r="M149" s="1">
        <f t="shared" si="16"/>
        <v>-0.64423752635277576</v>
      </c>
      <c r="N149" s="1">
        <f t="shared" si="17"/>
        <v>-0.16081049426095095</v>
      </c>
      <c r="O149" s="1">
        <f t="shared" si="18"/>
        <v>3.1910283438744438</v>
      </c>
      <c r="P149">
        <f t="shared" si="19"/>
        <v>288</v>
      </c>
      <c r="Q149">
        <f t="shared" si="20"/>
        <v>139</v>
      </c>
      <c r="R149">
        <f t="shared" si="21"/>
        <v>44</v>
      </c>
      <c r="S149">
        <f t="shared" si="22"/>
        <v>471</v>
      </c>
      <c r="T149">
        <f t="shared" si="23"/>
        <v>148</v>
      </c>
      <c r="U149" s="1" cm="1">
        <f t="array" ref="U149">MIN(ABS(M149:O149))</f>
        <v>0.16081049426095095</v>
      </c>
    </row>
    <row r="150" spans="1:21" x14ac:dyDescent="0.35">
      <c r="A150" t="s">
        <v>172</v>
      </c>
      <c r="B150" s="2">
        <v>91.47</v>
      </c>
      <c r="C150" s="2">
        <v>65.709999999999994</v>
      </c>
      <c r="D150" s="2">
        <v>72.010000000000005</v>
      </c>
      <c r="E150" s="2">
        <v>115.62</v>
      </c>
      <c r="F150" s="2">
        <v>11.27</v>
      </c>
      <c r="G150">
        <v>0</v>
      </c>
      <c r="H150">
        <v>1</v>
      </c>
      <c r="I150">
        <v>5</v>
      </c>
      <c r="J150">
        <v>0</v>
      </c>
      <c r="K150">
        <v>1</v>
      </c>
      <c r="L150">
        <v>2</v>
      </c>
      <c r="M150" s="1">
        <f t="shared" si="16"/>
        <v>-0.2816223898545972</v>
      </c>
      <c r="N150" s="1">
        <f t="shared" si="17"/>
        <v>-0.21274734885754887</v>
      </c>
      <c r="O150" s="1">
        <f t="shared" si="18"/>
        <v>0.26402099048868477</v>
      </c>
      <c r="P150">
        <f t="shared" si="19"/>
        <v>110</v>
      </c>
      <c r="Q150">
        <f t="shared" si="20"/>
        <v>154</v>
      </c>
      <c r="R150">
        <f t="shared" si="21"/>
        <v>209</v>
      </c>
      <c r="S150">
        <f t="shared" si="22"/>
        <v>473</v>
      </c>
      <c r="T150">
        <f t="shared" si="23"/>
        <v>149</v>
      </c>
      <c r="U150" s="1" cm="1">
        <f t="array" ref="U150">MIN(ABS(M150:O150))</f>
        <v>0.21274734885754887</v>
      </c>
    </row>
    <row r="151" spans="1:21" x14ac:dyDescent="0.35">
      <c r="A151" t="s">
        <v>167</v>
      </c>
      <c r="B151" s="2">
        <v>152.82</v>
      </c>
      <c r="C151" s="2">
        <v>57.69</v>
      </c>
      <c r="D151" s="2">
        <v>122</v>
      </c>
      <c r="E151" s="2">
        <v>576.46</v>
      </c>
      <c r="F151" s="2">
        <v>10.47</v>
      </c>
      <c r="G151">
        <v>2</v>
      </c>
      <c r="H151">
        <v>10</v>
      </c>
      <c r="I151">
        <v>18</v>
      </c>
      <c r="J151">
        <v>0</v>
      </c>
      <c r="K151">
        <v>0</v>
      </c>
      <c r="L151">
        <v>2</v>
      </c>
      <c r="M151" s="1">
        <f t="shared" si="16"/>
        <v>-0.62249705535924615</v>
      </c>
      <c r="N151" s="1">
        <f t="shared" si="17"/>
        <v>-0.20167517340662211</v>
      </c>
      <c r="O151" s="1">
        <f t="shared" si="18"/>
        <v>2.7721502421149067</v>
      </c>
      <c r="P151">
        <f t="shared" si="19"/>
        <v>275</v>
      </c>
      <c r="Q151">
        <f t="shared" si="20"/>
        <v>149</v>
      </c>
      <c r="R151">
        <f t="shared" si="21"/>
        <v>50</v>
      </c>
      <c r="S151">
        <f t="shared" si="22"/>
        <v>474</v>
      </c>
      <c r="T151">
        <f t="shared" si="23"/>
        <v>150</v>
      </c>
      <c r="U151" s="1" cm="1">
        <f t="array" ref="U151">MIN(ABS(M151:O151))</f>
        <v>0.20167517340662211</v>
      </c>
    </row>
    <row r="152" spans="1:21" x14ac:dyDescent="0.35">
      <c r="A152" t="s">
        <v>162</v>
      </c>
      <c r="B152" s="2">
        <v>149.11000000000001</v>
      </c>
      <c r="C152" s="2">
        <v>100.74</v>
      </c>
      <c r="D152" s="2">
        <v>121.48</v>
      </c>
      <c r="E152" s="2">
        <v>190.49</v>
      </c>
      <c r="F152" s="2">
        <v>8.06</v>
      </c>
      <c r="G152">
        <v>0</v>
      </c>
      <c r="H152">
        <v>2</v>
      </c>
      <c r="I152">
        <v>5</v>
      </c>
      <c r="J152">
        <v>0</v>
      </c>
      <c r="K152">
        <v>2</v>
      </c>
      <c r="L152">
        <v>3</v>
      </c>
      <c r="M152" s="1">
        <f t="shared" si="16"/>
        <v>-0.32439138890751806</v>
      </c>
      <c r="N152" s="1">
        <f t="shared" si="17"/>
        <v>-0.18529944336395954</v>
      </c>
      <c r="O152" s="1">
        <f t="shared" si="18"/>
        <v>0.27751324525518073</v>
      </c>
      <c r="P152">
        <f t="shared" si="19"/>
        <v>126</v>
      </c>
      <c r="Q152">
        <f t="shared" si="20"/>
        <v>144</v>
      </c>
      <c r="R152">
        <f t="shared" si="21"/>
        <v>207</v>
      </c>
      <c r="S152">
        <f t="shared" si="22"/>
        <v>477</v>
      </c>
      <c r="T152">
        <f t="shared" si="23"/>
        <v>151</v>
      </c>
      <c r="U152" s="1" cm="1">
        <f t="array" ref="U152">MIN(ABS(M152:O152))</f>
        <v>0.18529944336395954</v>
      </c>
    </row>
    <row r="153" spans="1:21" x14ac:dyDescent="0.35">
      <c r="A153" t="s">
        <v>181</v>
      </c>
      <c r="B153" s="2">
        <v>73.52</v>
      </c>
      <c r="C153" s="2">
        <v>44.21</v>
      </c>
      <c r="D153" s="2">
        <v>55.99</v>
      </c>
      <c r="E153" s="2">
        <v>123.1</v>
      </c>
      <c r="F153" s="2">
        <v>12.91</v>
      </c>
      <c r="G153">
        <v>0</v>
      </c>
      <c r="H153">
        <v>2</v>
      </c>
      <c r="I153">
        <v>5</v>
      </c>
      <c r="J153">
        <v>0</v>
      </c>
      <c r="K153">
        <v>0</v>
      </c>
      <c r="L153">
        <v>2</v>
      </c>
      <c r="M153" s="1">
        <f t="shared" si="16"/>
        <v>-0.39866702937976062</v>
      </c>
      <c r="N153" s="1">
        <f t="shared" si="17"/>
        <v>-0.23843852013057665</v>
      </c>
      <c r="O153" s="1">
        <f t="shared" si="18"/>
        <v>0.67437431991294883</v>
      </c>
      <c r="P153">
        <f t="shared" si="19"/>
        <v>152</v>
      </c>
      <c r="Q153">
        <f t="shared" si="20"/>
        <v>163</v>
      </c>
      <c r="R153">
        <f t="shared" si="21"/>
        <v>163</v>
      </c>
      <c r="S153">
        <f t="shared" si="22"/>
        <v>478</v>
      </c>
      <c r="T153">
        <f t="shared" si="23"/>
        <v>152</v>
      </c>
      <c r="U153" s="1" cm="1">
        <f t="array" ref="U153">MIN(ABS(M153:O153))</f>
        <v>0.23843852013057665</v>
      </c>
    </row>
    <row r="154" spans="1:21" x14ac:dyDescent="0.35">
      <c r="A154" t="s">
        <v>168</v>
      </c>
      <c r="B154" s="2">
        <v>82.91</v>
      </c>
      <c r="C154" s="2">
        <v>54.54</v>
      </c>
      <c r="D154" s="2">
        <v>66.12</v>
      </c>
      <c r="E154" s="2">
        <v>110.17</v>
      </c>
      <c r="F154" s="2">
        <v>7.08</v>
      </c>
      <c r="G154">
        <v>0</v>
      </c>
      <c r="H154">
        <v>1</v>
      </c>
      <c r="I154">
        <v>5</v>
      </c>
      <c r="J154">
        <v>1</v>
      </c>
      <c r="K154">
        <v>3</v>
      </c>
      <c r="L154">
        <v>5</v>
      </c>
      <c r="M154" s="1">
        <f t="shared" si="16"/>
        <v>-0.34217826558919306</v>
      </c>
      <c r="N154" s="1">
        <f t="shared" si="17"/>
        <v>-0.202508744421662</v>
      </c>
      <c r="O154" s="1">
        <f t="shared" si="18"/>
        <v>0.32879025449282362</v>
      </c>
      <c r="P154">
        <f t="shared" si="19"/>
        <v>130</v>
      </c>
      <c r="Q154">
        <f t="shared" si="20"/>
        <v>150</v>
      </c>
      <c r="R154">
        <f t="shared" si="21"/>
        <v>200</v>
      </c>
      <c r="S154">
        <f t="shared" si="22"/>
        <v>480</v>
      </c>
      <c r="T154">
        <f t="shared" si="23"/>
        <v>153</v>
      </c>
      <c r="U154" s="1" cm="1">
        <f t="array" ref="U154">MIN(ABS(M154:O154))</f>
        <v>0.202508744421662</v>
      </c>
    </row>
    <row r="155" spans="1:21" x14ac:dyDescent="0.35">
      <c r="A155" t="s">
        <v>165</v>
      </c>
      <c r="B155" s="2">
        <v>33.159999999999997</v>
      </c>
      <c r="C155" s="2">
        <v>21.25</v>
      </c>
      <c r="D155" s="2">
        <v>26.68</v>
      </c>
      <c r="E155" s="2">
        <v>42.73</v>
      </c>
      <c r="F155" s="2">
        <v>10.52</v>
      </c>
      <c r="G155">
        <v>1</v>
      </c>
      <c r="H155">
        <v>3</v>
      </c>
      <c r="I155">
        <v>5</v>
      </c>
      <c r="J155">
        <v>0</v>
      </c>
      <c r="K155">
        <v>0</v>
      </c>
      <c r="L155">
        <v>2</v>
      </c>
      <c r="M155" s="1">
        <f t="shared" si="16"/>
        <v>-0.35916767189384791</v>
      </c>
      <c r="N155" s="1">
        <f t="shared" si="17"/>
        <v>-0.19541616405307594</v>
      </c>
      <c r="O155" s="1">
        <f t="shared" si="18"/>
        <v>0.2886007237635706</v>
      </c>
      <c r="P155">
        <f t="shared" si="19"/>
        <v>140</v>
      </c>
      <c r="Q155">
        <f t="shared" si="20"/>
        <v>147</v>
      </c>
      <c r="R155">
        <f t="shared" si="21"/>
        <v>203</v>
      </c>
      <c r="S155">
        <f t="shared" si="22"/>
        <v>490</v>
      </c>
      <c r="T155">
        <f t="shared" si="23"/>
        <v>154</v>
      </c>
      <c r="U155" s="1" cm="1">
        <f t="array" ref="U155">MIN(ABS(M155:O155))</f>
        <v>0.19541616405307594</v>
      </c>
    </row>
    <row r="156" spans="1:21" x14ac:dyDescent="0.35">
      <c r="A156" t="s">
        <v>174</v>
      </c>
      <c r="B156" s="2">
        <v>69.16</v>
      </c>
      <c r="C156" s="2">
        <v>49.65</v>
      </c>
      <c r="D156" s="2">
        <v>53.93</v>
      </c>
      <c r="E156" s="2">
        <v>82.57</v>
      </c>
      <c r="F156" s="2">
        <v>11.39</v>
      </c>
      <c r="G156">
        <v>0</v>
      </c>
      <c r="H156">
        <v>1</v>
      </c>
      <c r="I156">
        <v>5</v>
      </c>
      <c r="J156">
        <v>0</v>
      </c>
      <c r="K156">
        <v>0</v>
      </c>
      <c r="L156">
        <v>2</v>
      </c>
      <c r="M156" s="1">
        <f t="shared" si="16"/>
        <v>-0.28209947946790048</v>
      </c>
      <c r="N156" s="1">
        <f t="shared" si="17"/>
        <v>-0.22021399652978602</v>
      </c>
      <c r="O156" s="1">
        <f t="shared" si="18"/>
        <v>0.19389820705610172</v>
      </c>
      <c r="P156">
        <f t="shared" si="19"/>
        <v>112</v>
      </c>
      <c r="Q156">
        <f t="shared" si="20"/>
        <v>156</v>
      </c>
      <c r="R156">
        <f t="shared" si="21"/>
        <v>225</v>
      </c>
      <c r="S156">
        <f t="shared" si="22"/>
        <v>493</v>
      </c>
      <c r="T156">
        <f t="shared" si="23"/>
        <v>155</v>
      </c>
      <c r="U156" s="1" cm="1">
        <f t="array" ref="U156">MIN(ABS(M156:O156))</f>
        <v>0.19389820705610172</v>
      </c>
    </row>
    <row r="157" spans="1:21" x14ac:dyDescent="0.35">
      <c r="A157" t="s">
        <v>163</v>
      </c>
      <c r="B157" s="2">
        <v>109</v>
      </c>
      <c r="C157" s="2">
        <v>89.55</v>
      </c>
      <c r="D157" s="2">
        <v>88.62</v>
      </c>
      <c r="E157" s="2">
        <v>111.47</v>
      </c>
      <c r="F157" s="2">
        <v>12.08</v>
      </c>
      <c r="G157">
        <v>-3</v>
      </c>
      <c r="H157">
        <v>1</v>
      </c>
      <c r="I157">
        <v>5</v>
      </c>
      <c r="J157">
        <v>0</v>
      </c>
      <c r="K157">
        <v>0</v>
      </c>
      <c r="L157">
        <v>2</v>
      </c>
      <c r="M157" s="1">
        <f t="shared" si="16"/>
        <v>-0.17844036697247712</v>
      </c>
      <c r="N157" s="1">
        <f t="shared" si="17"/>
        <v>-0.18697247706422016</v>
      </c>
      <c r="O157" s="1">
        <f t="shared" si="18"/>
        <v>2.2660550458715623E-2</v>
      </c>
      <c r="P157">
        <f t="shared" si="19"/>
        <v>95</v>
      </c>
      <c r="Q157">
        <f t="shared" si="20"/>
        <v>145</v>
      </c>
      <c r="R157">
        <f t="shared" si="21"/>
        <v>256</v>
      </c>
      <c r="S157">
        <f t="shared" si="22"/>
        <v>496</v>
      </c>
      <c r="T157">
        <f t="shared" si="23"/>
        <v>156</v>
      </c>
      <c r="U157" s="1" cm="1">
        <f t="array" ref="U157">MIN(ABS(M157:O157))</f>
        <v>2.2660550458715623E-2</v>
      </c>
    </row>
    <row r="158" spans="1:21" x14ac:dyDescent="0.35">
      <c r="A158" t="s">
        <v>177</v>
      </c>
      <c r="B158" s="2">
        <v>66.31</v>
      </c>
      <c r="C158" s="2">
        <v>23.42</v>
      </c>
      <c r="D158" s="2">
        <v>51.33</v>
      </c>
      <c r="E158" s="2">
        <v>253.04</v>
      </c>
      <c r="F158" s="2">
        <v>10.83</v>
      </c>
      <c r="G158">
        <v>2</v>
      </c>
      <c r="H158">
        <v>10</v>
      </c>
      <c r="I158">
        <v>18</v>
      </c>
      <c r="J158">
        <v>0</v>
      </c>
      <c r="K158">
        <v>0</v>
      </c>
      <c r="L158">
        <v>2</v>
      </c>
      <c r="M158" s="1">
        <f t="shared" si="16"/>
        <v>-0.6468104358316995</v>
      </c>
      <c r="N158" s="1">
        <f t="shared" si="17"/>
        <v>-0.22590861106922033</v>
      </c>
      <c r="O158" s="1">
        <f t="shared" si="18"/>
        <v>2.8160156839089123</v>
      </c>
      <c r="P158">
        <f t="shared" si="19"/>
        <v>290</v>
      </c>
      <c r="Q158">
        <f t="shared" si="20"/>
        <v>159</v>
      </c>
      <c r="R158">
        <f t="shared" si="21"/>
        <v>49</v>
      </c>
      <c r="S158">
        <f t="shared" si="22"/>
        <v>498</v>
      </c>
      <c r="T158">
        <f t="shared" si="23"/>
        <v>157</v>
      </c>
      <c r="U158" s="1" cm="1">
        <f t="array" ref="U158">MIN(ABS(M158:O158))</f>
        <v>0.22590861106922033</v>
      </c>
    </row>
    <row r="159" spans="1:21" x14ac:dyDescent="0.35">
      <c r="A159" t="s">
        <v>195</v>
      </c>
      <c r="B159" s="2">
        <v>24.01</v>
      </c>
      <c r="C159" s="2">
        <v>15.94</v>
      </c>
      <c r="D159" s="2">
        <v>17.239999999999998</v>
      </c>
      <c r="E159" s="2">
        <v>32.340000000000003</v>
      </c>
      <c r="F159" s="2">
        <v>12.8</v>
      </c>
      <c r="G159">
        <v>-2</v>
      </c>
      <c r="H159">
        <v>1</v>
      </c>
      <c r="I159">
        <v>5</v>
      </c>
      <c r="J159">
        <v>0</v>
      </c>
      <c r="K159">
        <v>0</v>
      </c>
      <c r="L159">
        <v>2</v>
      </c>
      <c r="M159" s="1">
        <f t="shared" si="16"/>
        <v>-0.33610995418575595</v>
      </c>
      <c r="N159" s="1">
        <f t="shared" si="17"/>
        <v>-0.28196584756351528</v>
      </c>
      <c r="O159" s="1">
        <f t="shared" si="18"/>
        <v>0.34693877551020424</v>
      </c>
      <c r="P159">
        <f t="shared" si="19"/>
        <v>128</v>
      </c>
      <c r="Q159">
        <f t="shared" si="20"/>
        <v>177</v>
      </c>
      <c r="R159">
        <f t="shared" si="21"/>
        <v>197</v>
      </c>
      <c r="S159">
        <f t="shared" si="22"/>
        <v>502</v>
      </c>
      <c r="T159">
        <f t="shared" si="23"/>
        <v>158</v>
      </c>
      <c r="U159" s="1" cm="1">
        <f t="array" ref="U159">MIN(ABS(M159:O159))</f>
        <v>0.28196584756351528</v>
      </c>
    </row>
    <row r="160" spans="1:21" x14ac:dyDescent="0.35">
      <c r="A160" t="s">
        <v>190</v>
      </c>
      <c r="B160" s="2">
        <v>66.650000000000006</v>
      </c>
      <c r="C160" s="2">
        <v>42.79</v>
      </c>
      <c r="D160" s="2">
        <v>48.43</v>
      </c>
      <c r="E160" s="2">
        <v>94.09</v>
      </c>
      <c r="F160" s="2">
        <v>11.52</v>
      </c>
      <c r="G160">
        <v>-2</v>
      </c>
      <c r="H160">
        <v>1</v>
      </c>
      <c r="I160">
        <v>5</v>
      </c>
      <c r="J160">
        <v>0</v>
      </c>
      <c r="K160">
        <v>1</v>
      </c>
      <c r="L160">
        <v>2</v>
      </c>
      <c r="M160" s="1">
        <f t="shared" si="16"/>
        <v>-0.3579894973743436</v>
      </c>
      <c r="N160" s="1">
        <f t="shared" si="17"/>
        <v>-0.27336834208552141</v>
      </c>
      <c r="O160" s="1">
        <f t="shared" si="18"/>
        <v>0.41170292573143286</v>
      </c>
      <c r="P160">
        <f t="shared" si="19"/>
        <v>139</v>
      </c>
      <c r="Q160">
        <f t="shared" si="20"/>
        <v>172</v>
      </c>
      <c r="R160">
        <f t="shared" si="21"/>
        <v>193</v>
      </c>
      <c r="S160">
        <f t="shared" si="22"/>
        <v>504</v>
      </c>
      <c r="T160">
        <f t="shared" si="23"/>
        <v>159</v>
      </c>
      <c r="U160" s="1" cm="1">
        <f t="array" ref="U160">MIN(ABS(M160:O160))</f>
        <v>0.27336834208552141</v>
      </c>
    </row>
    <row r="161" spans="1:21" x14ac:dyDescent="0.35">
      <c r="A161" t="s">
        <v>170</v>
      </c>
      <c r="B161" s="2">
        <v>115.36</v>
      </c>
      <c r="C161" s="2">
        <v>75.06</v>
      </c>
      <c r="D161" s="2">
        <v>91.09</v>
      </c>
      <c r="E161" s="2">
        <v>139.71</v>
      </c>
      <c r="F161" s="2">
        <v>10.220000000000001</v>
      </c>
      <c r="G161">
        <v>1</v>
      </c>
      <c r="H161">
        <v>3</v>
      </c>
      <c r="I161">
        <v>5</v>
      </c>
      <c r="J161">
        <v>0</v>
      </c>
      <c r="K161">
        <v>1</v>
      </c>
      <c r="L161">
        <v>2</v>
      </c>
      <c r="M161" s="1">
        <f t="shared" si="16"/>
        <v>-0.34934119278779474</v>
      </c>
      <c r="N161" s="1">
        <f t="shared" si="17"/>
        <v>-0.21038488210818307</v>
      </c>
      <c r="O161" s="1">
        <f t="shared" si="18"/>
        <v>0.21107836338418862</v>
      </c>
      <c r="P161">
        <f t="shared" si="19"/>
        <v>132</v>
      </c>
      <c r="Q161">
        <f t="shared" si="20"/>
        <v>152</v>
      </c>
      <c r="R161">
        <f t="shared" si="21"/>
        <v>221</v>
      </c>
      <c r="S161">
        <f t="shared" si="22"/>
        <v>505</v>
      </c>
      <c r="T161">
        <f t="shared" si="23"/>
        <v>160</v>
      </c>
      <c r="U161" s="1" cm="1">
        <f t="array" ref="U161">MIN(ABS(M161:O161))</f>
        <v>0.21038488210818307</v>
      </c>
    </row>
    <row r="162" spans="1:21" x14ac:dyDescent="0.35">
      <c r="A162" t="s">
        <v>185</v>
      </c>
      <c r="B162" s="2">
        <v>516.41</v>
      </c>
      <c r="C162" s="2">
        <v>252.88</v>
      </c>
      <c r="D162" s="2">
        <v>386.19</v>
      </c>
      <c r="E162" s="2">
        <v>1004.95</v>
      </c>
      <c r="F162" s="2">
        <v>11.8</v>
      </c>
      <c r="G162">
        <v>1</v>
      </c>
      <c r="H162">
        <v>6</v>
      </c>
      <c r="I162">
        <v>11</v>
      </c>
      <c r="J162">
        <v>0</v>
      </c>
      <c r="K162">
        <v>0</v>
      </c>
      <c r="L162">
        <v>2</v>
      </c>
      <c r="M162" s="1">
        <f t="shared" si="16"/>
        <v>-0.51031157413682926</v>
      </c>
      <c r="N162" s="1">
        <f t="shared" si="17"/>
        <v>-0.25216397823434866</v>
      </c>
      <c r="O162" s="1">
        <f t="shared" si="18"/>
        <v>0.94603125423597545</v>
      </c>
      <c r="P162">
        <f t="shared" si="19"/>
        <v>205</v>
      </c>
      <c r="Q162">
        <f t="shared" si="20"/>
        <v>167</v>
      </c>
      <c r="R162">
        <f t="shared" si="21"/>
        <v>133</v>
      </c>
      <c r="S162">
        <f t="shared" si="22"/>
        <v>505</v>
      </c>
      <c r="T162">
        <f t="shared" si="23"/>
        <v>160</v>
      </c>
      <c r="U162" s="1" cm="1">
        <f t="array" ref="U162">MIN(ABS(M162:O162))</f>
        <v>0.25216397823434866</v>
      </c>
    </row>
    <row r="163" spans="1:21" x14ac:dyDescent="0.35">
      <c r="A163" t="s">
        <v>182</v>
      </c>
      <c r="B163" s="2">
        <v>239.94</v>
      </c>
      <c r="C163" s="2">
        <v>110.81</v>
      </c>
      <c r="D163" s="2">
        <v>180.73</v>
      </c>
      <c r="E163" s="2">
        <v>477.82</v>
      </c>
      <c r="F163" s="2">
        <v>8.5399999999999991</v>
      </c>
      <c r="G163">
        <v>1</v>
      </c>
      <c r="H163">
        <v>6</v>
      </c>
      <c r="I163">
        <v>11</v>
      </c>
      <c r="J163">
        <v>0</v>
      </c>
      <c r="K163">
        <v>1</v>
      </c>
      <c r="L163">
        <v>2</v>
      </c>
      <c r="M163" s="1">
        <f t="shared" si="16"/>
        <v>-0.53817621071934651</v>
      </c>
      <c r="N163" s="1">
        <f t="shared" si="17"/>
        <v>-0.24677002583979335</v>
      </c>
      <c r="O163" s="1">
        <f t="shared" si="18"/>
        <v>0.99141452029674082</v>
      </c>
      <c r="P163">
        <f t="shared" si="19"/>
        <v>218</v>
      </c>
      <c r="Q163">
        <f t="shared" si="20"/>
        <v>164</v>
      </c>
      <c r="R163">
        <f t="shared" si="21"/>
        <v>124</v>
      </c>
      <c r="S163">
        <f t="shared" si="22"/>
        <v>506</v>
      </c>
      <c r="T163">
        <f t="shared" si="23"/>
        <v>162</v>
      </c>
      <c r="U163" s="1" cm="1">
        <f t="array" ref="U163">MIN(ABS(M163:O163))</f>
        <v>0.24677002583979335</v>
      </c>
    </row>
    <row r="164" spans="1:21" x14ac:dyDescent="0.35">
      <c r="A164" t="s">
        <v>183</v>
      </c>
      <c r="B164" s="2">
        <v>33.01</v>
      </c>
      <c r="C164" s="2">
        <v>22.01</v>
      </c>
      <c r="D164" s="2">
        <v>24.86</v>
      </c>
      <c r="E164" s="2">
        <v>40.51</v>
      </c>
      <c r="F164" s="2">
        <v>12.74</v>
      </c>
      <c r="G164">
        <v>0</v>
      </c>
      <c r="H164">
        <v>1</v>
      </c>
      <c r="I164">
        <v>5</v>
      </c>
      <c r="J164">
        <v>0</v>
      </c>
      <c r="K164">
        <v>0</v>
      </c>
      <c r="L164">
        <v>2</v>
      </c>
      <c r="M164" s="1">
        <f t="shared" si="16"/>
        <v>-0.33323235383217198</v>
      </c>
      <c r="N164" s="1">
        <f t="shared" si="17"/>
        <v>-0.24689488033929108</v>
      </c>
      <c r="O164" s="1">
        <f t="shared" si="18"/>
        <v>0.22720387761284466</v>
      </c>
      <c r="P164">
        <f t="shared" si="19"/>
        <v>127</v>
      </c>
      <c r="Q164">
        <f t="shared" si="20"/>
        <v>165</v>
      </c>
      <c r="R164">
        <f t="shared" si="21"/>
        <v>216</v>
      </c>
      <c r="S164">
        <f t="shared" si="22"/>
        <v>508</v>
      </c>
      <c r="T164">
        <f t="shared" si="23"/>
        <v>163</v>
      </c>
      <c r="U164" s="1" cm="1">
        <f t="array" ref="U164">MIN(ABS(M164:O164))</f>
        <v>0.22720387761284466</v>
      </c>
    </row>
    <row r="165" spans="1:21" x14ac:dyDescent="0.35">
      <c r="A165" t="s">
        <v>184</v>
      </c>
      <c r="B165" s="2">
        <v>239.63</v>
      </c>
      <c r="C165" s="2">
        <v>110.63</v>
      </c>
      <c r="D165" s="2">
        <v>180.42</v>
      </c>
      <c r="E165" s="2">
        <v>477</v>
      </c>
      <c r="F165" s="2">
        <v>8.5399999999999991</v>
      </c>
      <c r="G165">
        <v>1</v>
      </c>
      <c r="H165">
        <v>6</v>
      </c>
      <c r="I165">
        <v>11</v>
      </c>
      <c r="J165">
        <v>0</v>
      </c>
      <c r="K165">
        <v>1</v>
      </c>
      <c r="L165">
        <v>2</v>
      </c>
      <c r="M165" s="1">
        <f t="shared" si="16"/>
        <v>-0.53832992530150647</v>
      </c>
      <c r="N165" s="1">
        <f t="shared" si="17"/>
        <v>-0.24708926261319542</v>
      </c>
      <c r="O165" s="1">
        <f t="shared" si="18"/>
        <v>0.99056879355673333</v>
      </c>
      <c r="P165">
        <f t="shared" si="19"/>
        <v>219</v>
      </c>
      <c r="Q165">
        <f t="shared" si="20"/>
        <v>166</v>
      </c>
      <c r="R165">
        <f t="shared" si="21"/>
        <v>125</v>
      </c>
      <c r="S165">
        <f t="shared" si="22"/>
        <v>510</v>
      </c>
      <c r="T165">
        <f t="shared" si="23"/>
        <v>164</v>
      </c>
      <c r="U165" s="1" cm="1">
        <f t="array" ref="U165">MIN(ABS(M165:O165))</f>
        <v>0.24708926261319542</v>
      </c>
    </row>
    <row r="166" spans="1:21" x14ac:dyDescent="0.35">
      <c r="A166" t="s">
        <v>178</v>
      </c>
      <c r="B166" s="2">
        <v>157.82</v>
      </c>
      <c r="C166" s="2">
        <v>91.41</v>
      </c>
      <c r="D166" s="2">
        <v>121.99</v>
      </c>
      <c r="E166" s="2">
        <v>222.84</v>
      </c>
      <c r="F166" s="2">
        <v>9.86</v>
      </c>
      <c r="G166">
        <v>1</v>
      </c>
      <c r="H166">
        <v>4</v>
      </c>
      <c r="I166">
        <v>7</v>
      </c>
      <c r="J166">
        <v>0</v>
      </c>
      <c r="K166">
        <v>1</v>
      </c>
      <c r="L166">
        <v>2</v>
      </c>
      <c r="M166" s="1">
        <f t="shared" si="16"/>
        <v>-0.42079584336585985</v>
      </c>
      <c r="N166" s="1">
        <f t="shared" si="17"/>
        <v>-0.22703079457609932</v>
      </c>
      <c r="O166" s="1">
        <f t="shared" si="18"/>
        <v>0.41198834114814353</v>
      </c>
      <c r="P166">
        <f t="shared" si="19"/>
        <v>161</v>
      </c>
      <c r="Q166">
        <f t="shared" si="20"/>
        <v>160</v>
      </c>
      <c r="R166">
        <f t="shared" si="21"/>
        <v>192</v>
      </c>
      <c r="S166">
        <f t="shared" si="22"/>
        <v>513</v>
      </c>
      <c r="T166">
        <f t="shared" si="23"/>
        <v>165</v>
      </c>
      <c r="U166" s="1" cm="1">
        <f t="array" ref="U166">MIN(ABS(M166:O166))</f>
        <v>0.22703079457609932</v>
      </c>
    </row>
    <row r="167" spans="1:21" x14ac:dyDescent="0.35">
      <c r="A167" t="s">
        <v>211</v>
      </c>
      <c r="B167" s="2">
        <v>16.09</v>
      </c>
      <c r="C167" s="2">
        <v>9.5299999999999994</v>
      </c>
      <c r="D167" s="2">
        <v>10.65</v>
      </c>
      <c r="E167" s="2">
        <v>26.08</v>
      </c>
      <c r="F167" s="2">
        <v>14.32</v>
      </c>
      <c r="G167">
        <v>-3</v>
      </c>
      <c r="H167">
        <v>1</v>
      </c>
      <c r="I167">
        <v>5</v>
      </c>
      <c r="J167">
        <v>0</v>
      </c>
      <c r="K167">
        <v>0</v>
      </c>
      <c r="L167">
        <v>2</v>
      </c>
      <c r="M167" s="1">
        <f t="shared" si="16"/>
        <v>-0.4077066500932256</v>
      </c>
      <c r="N167" s="1">
        <f t="shared" si="17"/>
        <v>-0.33809819763828464</v>
      </c>
      <c r="O167" s="1">
        <f t="shared" si="18"/>
        <v>0.62088253573648222</v>
      </c>
      <c r="P167">
        <f t="shared" si="19"/>
        <v>154</v>
      </c>
      <c r="Q167">
        <f t="shared" si="20"/>
        <v>193</v>
      </c>
      <c r="R167">
        <f t="shared" si="21"/>
        <v>166</v>
      </c>
      <c r="S167">
        <f t="shared" si="22"/>
        <v>513</v>
      </c>
      <c r="T167">
        <f t="shared" si="23"/>
        <v>165</v>
      </c>
      <c r="U167" s="1" cm="1">
        <f t="array" ref="U167">MIN(ABS(M167:O167))</f>
        <v>0.33809819763828464</v>
      </c>
    </row>
    <row r="168" spans="1:21" x14ac:dyDescent="0.35">
      <c r="A168" t="s">
        <v>180</v>
      </c>
      <c r="B168" s="2">
        <v>15.5</v>
      </c>
      <c r="C168" s="2">
        <v>5.0999999999999996</v>
      </c>
      <c r="D168" s="2">
        <v>11.88</v>
      </c>
      <c r="E168" s="2">
        <v>59.49</v>
      </c>
      <c r="F168" s="2">
        <v>7.46</v>
      </c>
      <c r="G168">
        <v>2</v>
      </c>
      <c r="H168">
        <v>10</v>
      </c>
      <c r="I168">
        <v>18</v>
      </c>
      <c r="J168">
        <v>0</v>
      </c>
      <c r="K168">
        <v>2</v>
      </c>
      <c r="L168">
        <v>4</v>
      </c>
      <c r="M168" s="1">
        <f t="shared" si="16"/>
        <v>-0.67096774193548392</v>
      </c>
      <c r="N168" s="1">
        <f t="shared" si="17"/>
        <v>-0.23354838709677417</v>
      </c>
      <c r="O168" s="1">
        <f t="shared" si="18"/>
        <v>2.8380645161290325</v>
      </c>
      <c r="P168">
        <f t="shared" si="19"/>
        <v>308</v>
      </c>
      <c r="Q168">
        <f t="shared" si="20"/>
        <v>162</v>
      </c>
      <c r="R168">
        <f t="shared" si="21"/>
        <v>47</v>
      </c>
      <c r="S168">
        <f t="shared" si="22"/>
        <v>517</v>
      </c>
      <c r="T168">
        <f t="shared" si="23"/>
        <v>167</v>
      </c>
      <c r="U168" s="1" cm="1">
        <f t="array" ref="U168">MIN(ABS(M168:O168))</f>
        <v>0.23354838709677417</v>
      </c>
    </row>
    <row r="169" spans="1:21" x14ac:dyDescent="0.35">
      <c r="A169" t="s">
        <v>194</v>
      </c>
      <c r="B169" s="2">
        <v>238.08</v>
      </c>
      <c r="C169" s="2">
        <v>90.29</v>
      </c>
      <c r="D169" s="2">
        <v>171.47</v>
      </c>
      <c r="E169" s="2">
        <v>688.24</v>
      </c>
      <c r="F169" s="2">
        <v>10.31</v>
      </c>
      <c r="G169">
        <v>2</v>
      </c>
      <c r="H169">
        <v>9</v>
      </c>
      <c r="I169">
        <v>16</v>
      </c>
      <c r="J169">
        <v>0</v>
      </c>
      <c r="K169">
        <v>1</v>
      </c>
      <c r="L169">
        <v>2</v>
      </c>
      <c r="M169" s="1">
        <f t="shared" si="16"/>
        <v>-0.62075772849462363</v>
      </c>
      <c r="N169" s="1">
        <f t="shared" si="17"/>
        <v>-0.2797799059139785</v>
      </c>
      <c r="O169" s="1">
        <f t="shared" si="18"/>
        <v>1.890793010752688</v>
      </c>
      <c r="P169">
        <f t="shared" si="19"/>
        <v>270</v>
      </c>
      <c r="Q169">
        <f t="shared" si="20"/>
        <v>176</v>
      </c>
      <c r="R169">
        <f t="shared" si="21"/>
        <v>71</v>
      </c>
      <c r="S169">
        <f t="shared" si="22"/>
        <v>517</v>
      </c>
      <c r="T169">
        <f t="shared" si="23"/>
        <v>167</v>
      </c>
      <c r="U169" s="1" cm="1">
        <f t="array" ref="U169">MIN(ABS(M169:O169))</f>
        <v>0.2797799059139785</v>
      </c>
    </row>
    <row r="170" spans="1:21" x14ac:dyDescent="0.35">
      <c r="A170" t="s">
        <v>175</v>
      </c>
      <c r="B170" s="2">
        <v>84.25</v>
      </c>
      <c r="C170" s="2">
        <v>57.45</v>
      </c>
      <c r="D170" s="2">
        <v>65.53</v>
      </c>
      <c r="E170" s="2">
        <v>92.83</v>
      </c>
      <c r="F170" s="2">
        <v>7.88</v>
      </c>
      <c r="G170">
        <v>0</v>
      </c>
      <c r="H170">
        <v>1</v>
      </c>
      <c r="I170">
        <v>5</v>
      </c>
      <c r="J170">
        <v>1</v>
      </c>
      <c r="K170">
        <v>4</v>
      </c>
      <c r="L170">
        <v>7</v>
      </c>
      <c r="M170" s="1">
        <f t="shared" si="16"/>
        <v>-0.31810089020771515</v>
      </c>
      <c r="N170" s="1">
        <f t="shared" si="17"/>
        <v>-0.22219584569732931</v>
      </c>
      <c r="O170" s="1">
        <f t="shared" si="18"/>
        <v>0.10183976261127592</v>
      </c>
      <c r="P170">
        <f t="shared" si="19"/>
        <v>124</v>
      </c>
      <c r="Q170">
        <f t="shared" si="20"/>
        <v>157</v>
      </c>
      <c r="R170">
        <f t="shared" si="21"/>
        <v>239</v>
      </c>
      <c r="S170">
        <f t="shared" si="22"/>
        <v>520</v>
      </c>
      <c r="T170">
        <f t="shared" si="23"/>
        <v>169</v>
      </c>
      <c r="U170" s="1" cm="1">
        <f t="array" ref="U170">MIN(ABS(M170:O170))</f>
        <v>0.10183976261127592</v>
      </c>
    </row>
    <row r="171" spans="1:21" x14ac:dyDescent="0.35">
      <c r="A171" t="s">
        <v>179</v>
      </c>
      <c r="B171" s="2">
        <v>62.51</v>
      </c>
      <c r="C171" s="2">
        <v>20.96</v>
      </c>
      <c r="D171" s="2">
        <v>48.04</v>
      </c>
      <c r="E171" s="2">
        <v>199.55</v>
      </c>
      <c r="F171" s="2">
        <v>8.16</v>
      </c>
      <c r="G171">
        <v>2</v>
      </c>
      <c r="H171">
        <v>9</v>
      </c>
      <c r="I171">
        <v>15</v>
      </c>
      <c r="J171">
        <v>0</v>
      </c>
      <c r="K171">
        <v>2</v>
      </c>
      <c r="L171">
        <v>3</v>
      </c>
      <c r="M171" s="1">
        <f t="shared" si="16"/>
        <v>-0.66469364901615746</v>
      </c>
      <c r="N171" s="1">
        <f t="shared" si="17"/>
        <v>-0.2314829627259638</v>
      </c>
      <c r="O171" s="1">
        <f t="shared" si="18"/>
        <v>2.1922892337226045</v>
      </c>
      <c r="P171">
        <f t="shared" si="19"/>
        <v>300</v>
      </c>
      <c r="Q171">
        <f t="shared" si="20"/>
        <v>161</v>
      </c>
      <c r="R171">
        <f t="shared" si="21"/>
        <v>60</v>
      </c>
      <c r="S171">
        <f t="shared" si="22"/>
        <v>521</v>
      </c>
      <c r="T171">
        <f t="shared" si="23"/>
        <v>170</v>
      </c>
      <c r="U171" s="1" cm="1">
        <f t="array" ref="U171">MIN(ABS(M171:O171))</f>
        <v>0.2314829627259638</v>
      </c>
    </row>
    <row r="172" spans="1:21" x14ac:dyDescent="0.35">
      <c r="A172" t="s">
        <v>176</v>
      </c>
      <c r="B172" s="2">
        <v>2348.9899999999998</v>
      </c>
      <c r="C172" s="2">
        <v>747.05</v>
      </c>
      <c r="D172" s="2">
        <v>1820.38</v>
      </c>
      <c r="E172" s="2">
        <v>9605.75</v>
      </c>
      <c r="F172" s="2">
        <v>7.56</v>
      </c>
      <c r="G172">
        <v>2</v>
      </c>
      <c r="H172">
        <v>10</v>
      </c>
      <c r="I172">
        <v>18</v>
      </c>
      <c r="J172">
        <v>1</v>
      </c>
      <c r="K172">
        <v>3</v>
      </c>
      <c r="L172">
        <v>5</v>
      </c>
      <c r="M172" s="1">
        <f t="shared" si="16"/>
        <v>-0.68196969761471948</v>
      </c>
      <c r="N172" s="1">
        <f t="shared" si="17"/>
        <v>-0.22503714362342953</v>
      </c>
      <c r="O172" s="1">
        <f t="shared" si="18"/>
        <v>3.0893107250350154</v>
      </c>
      <c r="P172">
        <f t="shared" si="19"/>
        <v>320</v>
      </c>
      <c r="Q172">
        <f t="shared" si="20"/>
        <v>158</v>
      </c>
      <c r="R172">
        <f t="shared" si="21"/>
        <v>45</v>
      </c>
      <c r="S172">
        <f t="shared" si="22"/>
        <v>523</v>
      </c>
      <c r="T172">
        <f t="shared" si="23"/>
        <v>171</v>
      </c>
      <c r="U172" s="1" cm="1">
        <f t="array" ref="U172">MIN(ABS(M172:O172))</f>
        <v>0.22503714362342953</v>
      </c>
    </row>
    <row r="173" spans="1:21" x14ac:dyDescent="0.35">
      <c r="A173" t="s">
        <v>189</v>
      </c>
      <c r="B173" s="2">
        <v>56.53</v>
      </c>
      <c r="C173" s="2">
        <v>34.119999999999997</v>
      </c>
      <c r="D173" s="2">
        <v>41.34</v>
      </c>
      <c r="E173" s="2">
        <v>72.3</v>
      </c>
      <c r="F173" s="2">
        <v>11.38</v>
      </c>
      <c r="G173">
        <v>0</v>
      </c>
      <c r="H173">
        <v>2</v>
      </c>
      <c r="I173">
        <v>5</v>
      </c>
      <c r="J173">
        <v>0</v>
      </c>
      <c r="K173">
        <v>1</v>
      </c>
      <c r="L173">
        <v>2</v>
      </c>
      <c r="M173" s="1">
        <f t="shared" si="16"/>
        <v>-0.39642667610118532</v>
      </c>
      <c r="N173" s="1">
        <f t="shared" si="17"/>
        <v>-0.26870688130196352</v>
      </c>
      <c r="O173" s="1">
        <f t="shared" si="18"/>
        <v>0.27896692021935254</v>
      </c>
      <c r="P173">
        <f t="shared" si="19"/>
        <v>149</v>
      </c>
      <c r="Q173">
        <f t="shared" si="20"/>
        <v>171</v>
      </c>
      <c r="R173">
        <f t="shared" si="21"/>
        <v>206</v>
      </c>
      <c r="S173">
        <f t="shared" si="22"/>
        <v>526</v>
      </c>
      <c r="T173">
        <f t="shared" si="23"/>
        <v>172</v>
      </c>
      <c r="U173" s="1" cm="1">
        <f t="array" ref="U173">MIN(ABS(M173:O173))</f>
        <v>0.26870688130196352</v>
      </c>
    </row>
    <row r="174" spans="1:21" x14ac:dyDescent="0.35">
      <c r="A174" t="s">
        <v>191</v>
      </c>
      <c r="B174" s="2">
        <v>139.38999999999999</v>
      </c>
      <c r="C174" s="2">
        <v>48.27</v>
      </c>
      <c r="D174" s="2">
        <v>101.11</v>
      </c>
      <c r="E174" s="2">
        <v>412.02</v>
      </c>
      <c r="F174" s="2">
        <v>6</v>
      </c>
      <c r="G174">
        <v>2</v>
      </c>
      <c r="H174">
        <v>9</v>
      </c>
      <c r="I174">
        <v>16</v>
      </c>
      <c r="J174">
        <v>1</v>
      </c>
      <c r="K174">
        <v>5</v>
      </c>
      <c r="L174">
        <v>9</v>
      </c>
      <c r="M174" s="1">
        <f t="shared" si="16"/>
        <v>-0.65370543080565313</v>
      </c>
      <c r="N174" s="1">
        <f t="shared" si="17"/>
        <v>-0.27462515244996044</v>
      </c>
      <c r="O174" s="1">
        <f t="shared" si="18"/>
        <v>1.9558791878900927</v>
      </c>
      <c r="P174">
        <f t="shared" si="19"/>
        <v>293</v>
      </c>
      <c r="Q174">
        <f t="shared" si="20"/>
        <v>173</v>
      </c>
      <c r="R174">
        <f t="shared" si="21"/>
        <v>66</v>
      </c>
      <c r="S174">
        <f t="shared" si="22"/>
        <v>532</v>
      </c>
      <c r="T174">
        <f t="shared" si="23"/>
        <v>173</v>
      </c>
      <c r="U174" s="1" cm="1">
        <f t="array" ref="U174">MIN(ABS(M174:O174))</f>
        <v>0.27462515244996044</v>
      </c>
    </row>
    <row r="175" spans="1:21" x14ac:dyDescent="0.35">
      <c r="A175" t="s">
        <v>201</v>
      </c>
      <c r="B175" s="2">
        <v>34.39</v>
      </c>
      <c r="C175" s="2">
        <v>23.64</v>
      </c>
      <c r="D175" s="2">
        <v>23.8</v>
      </c>
      <c r="E175" s="2">
        <v>39.43</v>
      </c>
      <c r="F175" s="2">
        <v>13.1</v>
      </c>
      <c r="G175">
        <v>-3</v>
      </c>
      <c r="H175">
        <v>1</v>
      </c>
      <c r="I175">
        <v>5</v>
      </c>
      <c r="J175">
        <v>0</v>
      </c>
      <c r="K175">
        <v>0</v>
      </c>
      <c r="L175">
        <v>2</v>
      </c>
      <c r="M175" s="1">
        <f t="shared" si="16"/>
        <v>-0.31259086943879033</v>
      </c>
      <c r="N175" s="1">
        <f t="shared" si="17"/>
        <v>-0.30793835417272464</v>
      </c>
      <c r="O175" s="1">
        <f t="shared" si="18"/>
        <v>0.14655423088107011</v>
      </c>
      <c r="P175">
        <f t="shared" si="19"/>
        <v>121</v>
      </c>
      <c r="Q175">
        <f t="shared" si="20"/>
        <v>183</v>
      </c>
      <c r="R175">
        <f t="shared" si="21"/>
        <v>230</v>
      </c>
      <c r="S175">
        <f t="shared" si="22"/>
        <v>534</v>
      </c>
      <c r="T175">
        <f t="shared" si="23"/>
        <v>174</v>
      </c>
      <c r="U175" s="1" cm="1">
        <f t="array" ref="U175">MIN(ABS(M175:O175))</f>
        <v>0.14655423088107011</v>
      </c>
    </row>
    <row r="176" spans="1:21" x14ac:dyDescent="0.35">
      <c r="A176" t="s">
        <v>192</v>
      </c>
      <c r="B176" s="2">
        <v>44.52</v>
      </c>
      <c r="C176" s="2">
        <v>28.72</v>
      </c>
      <c r="D176" s="2">
        <v>32.25</v>
      </c>
      <c r="E176" s="2">
        <v>50.85</v>
      </c>
      <c r="F176" s="2">
        <v>10.98</v>
      </c>
      <c r="G176">
        <v>0</v>
      </c>
      <c r="H176">
        <v>1</v>
      </c>
      <c r="I176">
        <v>5</v>
      </c>
      <c r="J176">
        <v>0</v>
      </c>
      <c r="K176">
        <v>1</v>
      </c>
      <c r="L176">
        <v>2</v>
      </c>
      <c r="M176" s="1">
        <f t="shared" si="16"/>
        <v>-0.35489667565139271</v>
      </c>
      <c r="N176" s="1">
        <f t="shared" si="17"/>
        <v>-0.27560646900269548</v>
      </c>
      <c r="O176" s="1">
        <f t="shared" si="18"/>
        <v>0.1421832884097034</v>
      </c>
      <c r="P176">
        <f t="shared" si="19"/>
        <v>136</v>
      </c>
      <c r="Q176">
        <f t="shared" si="20"/>
        <v>174</v>
      </c>
      <c r="R176">
        <f t="shared" si="21"/>
        <v>231</v>
      </c>
      <c r="S176">
        <f t="shared" si="22"/>
        <v>541</v>
      </c>
      <c r="T176">
        <f t="shared" si="23"/>
        <v>175</v>
      </c>
      <c r="U176" s="1" cm="1">
        <f t="array" ref="U176">MIN(ABS(M176:O176))</f>
        <v>0.1421832884097034</v>
      </c>
    </row>
    <row r="177" spans="1:21" x14ac:dyDescent="0.35">
      <c r="A177" t="s">
        <v>205</v>
      </c>
      <c r="B177" s="2">
        <v>23.75</v>
      </c>
      <c r="C177" s="2">
        <v>16.36</v>
      </c>
      <c r="D177" s="2">
        <v>16.36</v>
      </c>
      <c r="E177" s="2">
        <v>26.67</v>
      </c>
      <c r="F177" s="2">
        <v>12.22</v>
      </c>
      <c r="G177">
        <v>-3</v>
      </c>
      <c r="H177">
        <v>1</v>
      </c>
      <c r="I177">
        <v>5</v>
      </c>
      <c r="J177">
        <v>0</v>
      </c>
      <c r="K177">
        <v>0</v>
      </c>
      <c r="L177">
        <v>2</v>
      </c>
      <c r="M177" s="1">
        <f t="shared" si="16"/>
        <v>-0.31115789473684208</v>
      </c>
      <c r="N177" s="1">
        <f t="shared" si="17"/>
        <v>-0.31115789473684208</v>
      </c>
      <c r="O177" s="1">
        <f t="shared" si="18"/>
        <v>0.12294736842105269</v>
      </c>
      <c r="P177">
        <f t="shared" si="19"/>
        <v>120</v>
      </c>
      <c r="Q177">
        <f t="shared" si="20"/>
        <v>187</v>
      </c>
      <c r="R177">
        <f t="shared" si="21"/>
        <v>234</v>
      </c>
      <c r="S177">
        <f t="shared" si="22"/>
        <v>541</v>
      </c>
      <c r="T177">
        <f t="shared" si="23"/>
        <v>175</v>
      </c>
      <c r="U177" s="1" cm="1">
        <f t="array" ref="U177">MIN(ABS(M177:O177))</f>
        <v>0.12294736842105269</v>
      </c>
    </row>
    <row r="178" spans="1:21" x14ac:dyDescent="0.35">
      <c r="A178" t="s">
        <v>186</v>
      </c>
      <c r="B178" s="2">
        <v>283.48</v>
      </c>
      <c r="C178" s="2">
        <v>170.94</v>
      </c>
      <c r="D178" s="2">
        <v>210.29</v>
      </c>
      <c r="E178" s="2">
        <v>338.86</v>
      </c>
      <c r="F178" s="2">
        <v>6</v>
      </c>
      <c r="G178">
        <v>0</v>
      </c>
      <c r="H178">
        <v>2</v>
      </c>
      <c r="I178">
        <v>5</v>
      </c>
      <c r="J178">
        <v>1</v>
      </c>
      <c r="K178">
        <v>5</v>
      </c>
      <c r="L178">
        <v>9</v>
      </c>
      <c r="M178" s="1">
        <f t="shared" si="16"/>
        <v>-0.39699449696627631</v>
      </c>
      <c r="N178" s="1">
        <f t="shared" si="17"/>
        <v>-0.2581839988711726</v>
      </c>
      <c r="O178" s="1">
        <f t="shared" si="18"/>
        <v>0.19535769719204166</v>
      </c>
      <c r="P178">
        <f t="shared" si="19"/>
        <v>150</v>
      </c>
      <c r="Q178">
        <f t="shared" si="20"/>
        <v>168</v>
      </c>
      <c r="R178">
        <f t="shared" si="21"/>
        <v>224</v>
      </c>
      <c r="S178">
        <f t="shared" si="22"/>
        <v>542</v>
      </c>
      <c r="T178">
        <f t="shared" si="23"/>
        <v>177</v>
      </c>
      <c r="U178" s="1" cm="1">
        <f t="array" ref="U178">MIN(ABS(M178:O178))</f>
        <v>0.19535769719204166</v>
      </c>
    </row>
    <row r="179" spans="1:21" x14ac:dyDescent="0.35">
      <c r="A179" t="s">
        <v>187</v>
      </c>
      <c r="B179" s="2">
        <v>139</v>
      </c>
      <c r="C179" s="2">
        <v>80.180000000000007</v>
      </c>
      <c r="D179" s="2">
        <v>103.06</v>
      </c>
      <c r="E179" s="2">
        <v>173.49</v>
      </c>
      <c r="F179" s="2">
        <v>6.93</v>
      </c>
      <c r="G179">
        <v>0</v>
      </c>
      <c r="H179">
        <v>2</v>
      </c>
      <c r="I179">
        <v>5</v>
      </c>
      <c r="J179">
        <v>1</v>
      </c>
      <c r="K179">
        <v>2</v>
      </c>
      <c r="L179">
        <v>4</v>
      </c>
      <c r="M179" s="1">
        <f t="shared" si="16"/>
        <v>-0.42316546762589924</v>
      </c>
      <c r="N179" s="1">
        <f t="shared" si="17"/>
        <v>-0.25856115107913669</v>
      </c>
      <c r="O179" s="1">
        <f t="shared" si="18"/>
        <v>0.24812949640287774</v>
      </c>
      <c r="P179">
        <f t="shared" si="19"/>
        <v>163</v>
      </c>
      <c r="Q179">
        <f t="shared" si="20"/>
        <v>169</v>
      </c>
      <c r="R179">
        <f t="shared" si="21"/>
        <v>212</v>
      </c>
      <c r="S179">
        <f t="shared" si="22"/>
        <v>544</v>
      </c>
      <c r="T179">
        <f t="shared" si="23"/>
        <v>178</v>
      </c>
      <c r="U179" s="1" cm="1">
        <f t="array" ref="U179">MIN(ABS(M179:O179))</f>
        <v>0.24812949640287774</v>
      </c>
    </row>
    <row r="180" spans="1:21" x14ac:dyDescent="0.35">
      <c r="A180" t="s">
        <v>197</v>
      </c>
      <c r="B180" s="2">
        <v>102.51</v>
      </c>
      <c r="C180" s="2">
        <v>74.260000000000005</v>
      </c>
      <c r="D180" s="2">
        <v>72.819999999999993</v>
      </c>
      <c r="E180" s="2">
        <v>104.38</v>
      </c>
      <c r="F180" s="2">
        <v>11.5</v>
      </c>
      <c r="G180">
        <v>-3</v>
      </c>
      <c r="H180">
        <v>1</v>
      </c>
      <c r="I180">
        <v>5</v>
      </c>
      <c r="J180">
        <v>0</v>
      </c>
      <c r="K180">
        <v>0</v>
      </c>
      <c r="L180">
        <v>2</v>
      </c>
      <c r="M180" s="1">
        <f t="shared" si="16"/>
        <v>-0.27558286996390591</v>
      </c>
      <c r="N180" s="1">
        <f t="shared" si="17"/>
        <v>-0.28963027997268564</v>
      </c>
      <c r="O180" s="1">
        <f t="shared" si="18"/>
        <v>1.8242122719734466E-2</v>
      </c>
      <c r="P180">
        <f t="shared" si="19"/>
        <v>109</v>
      </c>
      <c r="Q180">
        <f t="shared" si="20"/>
        <v>179</v>
      </c>
      <c r="R180">
        <f t="shared" si="21"/>
        <v>257</v>
      </c>
      <c r="S180">
        <f t="shared" si="22"/>
        <v>545</v>
      </c>
      <c r="T180">
        <f t="shared" si="23"/>
        <v>179</v>
      </c>
      <c r="U180" s="1" cm="1">
        <f t="array" ref="U180">MIN(ABS(M180:O180))</f>
        <v>1.8242122719734466E-2</v>
      </c>
    </row>
    <row r="181" spans="1:21" x14ac:dyDescent="0.35">
      <c r="A181" t="s">
        <v>188</v>
      </c>
      <c r="B181" s="2">
        <v>16.96</v>
      </c>
      <c r="C181" s="2">
        <v>10.61</v>
      </c>
      <c r="D181" s="2">
        <v>12.44</v>
      </c>
      <c r="E181" s="2">
        <v>18.93</v>
      </c>
      <c r="F181" s="2">
        <v>8.8000000000000007</v>
      </c>
      <c r="G181">
        <v>0</v>
      </c>
      <c r="H181">
        <v>2</v>
      </c>
      <c r="I181">
        <v>5</v>
      </c>
      <c r="J181">
        <v>0</v>
      </c>
      <c r="K181">
        <v>1</v>
      </c>
      <c r="L181">
        <v>3</v>
      </c>
      <c r="M181" s="1">
        <f t="shared" si="16"/>
        <v>-0.37441037735849059</v>
      </c>
      <c r="N181" s="1">
        <f t="shared" si="17"/>
        <v>-0.26650943396226423</v>
      </c>
      <c r="O181" s="1">
        <f t="shared" si="18"/>
        <v>0.11615566037735836</v>
      </c>
      <c r="P181">
        <f t="shared" si="19"/>
        <v>144</v>
      </c>
      <c r="Q181">
        <f t="shared" si="20"/>
        <v>170</v>
      </c>
      <c r="R181">
        <f t="shared" si="21"/>
        <v>236</v>
      </c>
      <c r="S181">
        <f t="shared" si="22"/>
        <v>550</v>
      </c>
      <c r="T181">
        <f t="shared" si="23"/>
        <v>180</v>
      </c>
      <c r="U181" s="1" cm="1">
        <f t="array" ref="U181">MIN(ABS(M181:O181))</f>
        <v>0.11615566037735836</v>
      </c>
    </row>
    <row r="182" spans="1:21" x14ac:dyDescent="0.35">
      <c r="A182" t="s">
        <v>193</v>
      </c>
      <c r="B182" s="2">
        <v>40.5</v>
      </c>
      <c r="C182" s="2">
        <v>26.02</v>
      </c>
      <c r="D182" s="2">
        <v>29.23</v>
      </c>
      <c r="E182" s="2">
        <v>44.87</v>
      </c>
      <c r="F182" s="2">
        <v>12.09</v>
      </c>
      <c r="G182">
        <v>0</v>
      </c>
      <c r="H182">
        <v>2</v>
      </c>
      <c r="I182">
        <v>5</v>
      </c>
      <c r="J182">
        <v>0</v>
      </c>
      <c r="K182">
        <v>0</v>
      </c>
      <c r="L182">
        <v>2</v>
      </c>
      <c r="M182" s="1">
        <f t="shared" si="16"/>
        <v>-0.35753086419753088</v>
      </c>
      <c r="N182" s="1">
        <f t="shared" si="17"/>
        <v>-0.27827160493827163</v>
      </c>
      <c r="O182" s="1">
        <f t="shared" si="18"/>
        <v>0.10790123456790113</v>
      </c>
      <c r="P182">
        <f t="shared" si="19"/>
        <v>138</v>
      </c>
      <c r="Q182">
        <f t="shared" si="20"/>
        <v>175</v>
      </c>
      <c r="R182">
        <f t="shared" si="21"/>
        <v>238</v>
      </c>
      <c r="S182">
        <f t="shared" si="22"/>
        <v>551</v>
      </c>
      <c r="T182">
        <f t="shared" si="23"/>
        <v>181</v>
      </c>
      <c r="U182" s="1" cm="1">
        <f t="array" ref="U182">MIN(ABS(M182:O182))</f>
        <v>0.10790123456790113</v>
      </c>
    </row>
    <row r="183" spans="1:21" x14ac:dyDescent="0.35">
      <c r="A183" t="s">
        <v>198</v>
      </c>
      <c r="B183" s="2">
        <v>498.41</v>
      </c>
      <c r="C183" s="2">
        <v>206.03</v>
      </c>
      <c r="D183" s="2">
        <v>348.08</v>
      </c>
      <c r="E183" s="2">
        <v>988.36</v>
      </c>
      <c r="F183" s="2">
        <v>8.3800000000000008</v>
      </c>
      <c r="G183">
        <v>1</v>
      </c>
      <c r="H183">
        <v>7</v>
      </c>
      <c r="I183">
        <v>12</v>
      </c>
      <c r="J183">
        <v>0</v>
      </c>
      <c r="K183">
        <v>1</v>
      </c>
      <c r="L183">
        <v>2</v>
      </c>
      <c r="M183" s="1">
        <f t="shared" si="16"/>
        <v>-0.58662546899139267</v>
      </c>
      <c r="N183" s="1">
        <f t="shared" si="17"/>
        <v>-0.30161914889348129</v>
      </c>
      <c r="O183" s="1">
        <f t="shared" si="18"/>
        <v>0.9830260227523524</v>
      </c>
      <c r="P183">
        <f t="shared" si="19"/>
        <v>245</v>
      </c>
      <c r="Q183">
        <f t="shared" si="20"/>
        <v>180</v>
      </c>
      <c r="R183">
        <f t="shared" si="21"/>
        <v>127</v>
      </c>
      <c r="S183">
        <f t="shared" si="22"/>
        <v>552</v>
      </c>
      <c r="T183">
        <f t="shared" si="23"/>
        <v>182</v>
      </c>
      <c r="U183" s="1" cm="1">
        <f t="array" ref="U183">MIN(ABS(M183:O183))</f>
        <v>0.30161914889348129</v>
      </c>
    </row>
    <row r="184" spans="1:21" x14ac:dyDescent="0.35">
      <c r="A184" t="s">
        <v>202</v>
      </c>
      <c r="B184" s="2">
        <v>94.32</v>
      </c>
      <c r="C184" s="2">
        <v>64.69</v>
      </c>
      <c r="D184" s="2">
        <v>65.19</v>
      </c>
      <c r="E184" s="2">
        <v>97.64</v>
      </c>
      <c r="F184" s="2">
        <v>11.42</v>
      </c>
      <c r="G184">
        <v>-2</v>
      </c>
      <c r="H184">
        <v>1</v>
      </c>
      <c r="I184">
        <v>5</v>
      </c>
      <c r="J184">
        <v>0</v>
      </c>
      <c r="K184">
        <v>1</v>
      </c>
      <c r="L184">
        <v>2</v>
      </c>
      <c r="M184" s="1">
        <f t="shared" si="16"/>
        <v>-0.31414334181509751</v>
      </c>
      <c r="N184" s="1">
        <f t="shared" si="17"/>
        <v>-0.3088422391857506</v>
      </c>
      <c r="O184" s="1">
        <f t="shared" si="18"/>
        <v>3.5199321458863508E-2</v>
      </c>
      <c r="P184">
        <f t="shared" si="19"/>
        <v>122</v>
      </c>
      <c r="Q184">
        <f t="shared" si="20"/>
        <v>184</v>
      </c>
      <c r="R184">
        <f t="shared" si="21"/>
        <v>252</v>
      </c>
      <c r="S184">
        <f t="shared" si="22"/>
        <v>558</v>
      </c>
      <c r="T184">
        <f t="shared" si="23"/>
        <v>183</v>
      </c>
      <c r="U184" s="1" cm="1">
        <f t="array" ref="U184">MIN(ABS(M184:O184))</f>
        <v>3.5199321458863508E-2</v>
      </c>
    </row>
    <row r="185" spans="1:21" x14ac:dyDescent="0.35">
      <c r="A185" t="s">
        <v>196</v>
      </c>
      <c r="B185" s="2">
        <v>98.85</v>
      </c>
      <c r="C185" s="2">
        <v>58.31</v>
      </c>
      <c r="D185" s="2">
        <v>70.650000000000006</v>
      </c>
      <c r="E185" s="2">
        <v>117.54</v>
      </c>
      <c r="F185" s="2">
        <v>11.09</v>
      </c>
      <c r="G185">
        <v>0</v>
      </c>
      <c r="H185">
        <v>2</v>
      </c>
      <c r="I185">
        <v>5</v>
      </c>
      <c r="J185">
        <v>0</v>
      </c>
      <c r="K185">
        <v>1</v>
      </c>
      <c r="L185">
        <v>2</v>
      </c>
      <c r="M185" s="1">
        <f t="shared" si="16"/>
        <v>-0.41011633788568536</v>
      </c>
      <c r="N185" s="1">
        <f t="shared" si="17"/>
        <v>-0.28528072837632767</v>
      </c>
      <c r="O185" s="1">
        <f t="shared" si="18"/>
        <v>0.18907435508345993</v>
      </c>
      <c r="P185">
        <f t="shared" si="19"/>
        <v>155</v>
      </c>
      <c r="Q185">
        <f t="shared" si="20"/>
        <v>178</v>
      </c>
      <c r="R185">
        <f t="shared" si="21"/>
        <v>227</v>
      </c>
      <c r="S185">
        <f t="shared" si="22"/>
        <v>560</v>
      </c>
      <c r="T185">
        <f t="shared" si="23"/>
        <v>184</v>
      </c>
      <c r="U185" s="1" cm="1">
        <f t="array" ref="U185">MIN(ABS(M185:O185))</f>
        <v>0.18907435508345993</v>
      </c>
    </row>
    <row r="186" spans="1:21" x14ac:dyDescent="0.35">
      <c r="A186" t="s">
        <v>204</v>
      </c>
      <c r="B186" s="2">
        <v>112.42</v>
      </c>
      <c r="C186" s="2">
        <v>70.87</v>
      </c>
      <c r="D186" s="2">
        <v>77.489999999999995</v>
      </c>
      <c r="E186" s="2">
        <v>123.44</v>
      </c>
      <c r="F186" s="2">
        <v>11.37</v>
      </c>
      <c r="G186">
        <v>0</v>
      </c>
      <c r="H186">
        <v>1</v>
      </c>
      <c r="I186">
        <v>5</v>
      </c>
      <c r="J186">
        <v>0</v>
      </c>
      <c r="K186">
        <v>0</v>
      </c>
      <c r="L186">
        <v>2</v>
      </c>
      <c r="M186" s="1">
        <f t="shared" si="16"/>
        <v>-0.36959615726739015</v>
      </c>
      <c r="N186" s="1">
        <f t="shared" si="17"/>
        <v>-0.3107098381070984</v>
      </c>
      <c r="O186" s="1">
        <f t="shared" si="18"/>
        <v>9.8025262408824032E-2</v>
      </c>
      <c r="P186">
        <f t="shared" si="19"/>
        <v>142</v>
      </c>
      <c r="Q186">
        <f t="shared" si="20"/>
        <v>186</v>
      </c>
      <c r="R186">
        <f t="shared" si="21"/>
        <v>240</v>
      </c>
      <c r="S186">
        <f t="shared" si="22"/>
        <v>568</v>
      </c>
      <c r="T186">
        <f t="shared" si="23"/>
        <v>185</v>
      </c>
      <c r="U186" s="1" cm="1">
        <f t="array" ref="U186">MIN(ABS(M186:O186))</f>
        <v>9.8025262408824032E-2</v>
      </c>
    </row>
    <row r="187" spans="1:21" x14ac:dyDescent="0.35">
      <c r="A187" t="s">
        <v>210</v>
      </c>
      <c r="B187" s="2">
        <v>49.74</v>
      </c>
      <c r="C187" s="2">
        <v>32.119999999999997</v>
      </c>
      <c r="D187" s="2">
        <v>33.04</v>
      </c>
      <c r="E187" s="2">
        <v>51.67</v>
      </c>
      <c r="F187" s="2">
        <v>12.25</v>
      </c>
      <c r="G187">
        <v>-1</v>
      </c>
      <c r="H187">
        <v>1</v>
      </c>
      <c r="I187">
        <v>5</v>
      </c>
      <c r="J187">
        <v>0</v>
      </c>
      <c r="K187">
        <v>0</v>
      </c>
      <c r="L187">
        <v>2</v>
      </c>
      <c r="M187" s="1">
        <f t="shared" si="16"/>
        <v>-0.35424205870526748</v>
      </c>
      <c r="N187" s="1">
        <f t="shared" si="17"/>
        <v>-0.33574587856855653</v>
      </c>
      <c r="O187" s="1">
        <f t="shared" si="18"/>
        <v>3.8801769199839242E-2</v>
      </c>
      <c r="P187">
        <f t="shared" si="19"/>
        <v>134</v>
      </c>
      <c r="Q187">
        <f t="shared" si="20"/>
        <v>192</v>
      </c>
      <c r="R187">
        <f t="shared" si="21"/>
        <v>250</v>
      </c>
      <c r="S187">
        <f t="shared" si="22"/>
        <v>576</v>
      </c>
      <c r="T187">
        <f t="shared" si="23"/>
        <v>186</v>
      </c>
      <c r="U187" s="1" cm="1">
        <f t="array" ref="U187">MIN(ABS(M187:O187))</f>
        <v>3.8801769199839242E-2</v>
      </c>
    </row>
    <row r="188" spans="1:21" x14ac:dyDescent="0.35">
      <c r="A188" t="s">
        <v>207</v>
      </c>
      <c r="B188" s="2">
        <v>74.23</v>
      </c>
      <c r="C188" s="2">
        <v>41.18</v>
      </c>
      <c r="D188" s="2">
        <v>50.44</v>
      </c>
      <c r="E188" s="2">
        <v>91.13</v>
      </c>
      <c r="F188" s="2">
        <v>11.88</v>
      </c>
      <c r="G188">
        <v>1</v>
      </c>
      <c r="H188">
        <v>5</v>
      </c>
      <c r="I188">
        <v>8</v>
      </c>
      <c r="J188">
        <v>0</v>
      </c>
      <c r="K188">
        <v>0</v>
      </c>
      <c r="L188">
        <v>2</v>
      </c>
      <c r="M188" s="1">
        <f t="shared" si="16"/>
        <v>-0.44523777448470969</v>
      </c>
      <c r="N188" s="1">
        <f t="shared" si="17"/>
        <v>-0.32049036777583195</v>
      </c>
      <c r="O188" s="1">
        <f t="shared" si="18"/>
        <v>0.22767075306479856</v>
      </c>
      <c r="P188">
        <f t="shared" si="19"/>
        <v>174</v>
      </c>
      <c r="Q188">
        <f t="shared" si="20"/>
        <v>189</v>
      </c>
      <c r="R188">
        <f t="shared" si="21"/>
        <v>215</v>
      </c>
      <c r="S188">
        <f t="shared" si="22"/>
        <v>578</v>
      </c>
      <c r="T188">
        <f t="shared" si="23"/>
        <v>187</v>
      </c>
      <c r="U188" s="1" cm="1">
        <f t="array" ref="U188">MIN(ABS(M188:O188))</f>
        <v>0.22767075306479856</v>
      </c>
    </row>
    <row r="189" spans="1:21" x14ac:dyDescent="0.35">
      <c r="A189" t="s">
        <v>200</v>
      </c>
      <c r="B189" s="2">
        <v>134.72999999999999</v>
      </c>
      <c r="C189" s="2">
        <v>54.43</v>
      </c>
      <c r="D189" s="2">
        <v>93.55</v>
      </c>
      <c r="E189" s="2">
        <v>251.26</v>
      </c>
      <c r="F189" s="2">
        <v>9.6300000000000008</v>
      </c>
      <c r="G189">
        <v>1</v>
      </c>
      <c r="H189">
        <v>6</v>
      </c>
      <c r="I189">
        <v>10</v>
      </c>
      <c r="J189">
        <v>0</v>
      </c>
      <c r="K189">
        <v>1</v>
      </c>
      <c r="L189">
        <v>2</v>
      </c>
      <c r="M189" s="1">
        <f t="shared" si="16"/>
        <v>-0.59600682847175834</v>
      </c>
      <c r="N189" s="1">
        <f t="shared" si="17"/>
        <v>-0.30564833370444588</v>
      </c>
      <c r="O189" s="1">
        <f t="shared" si="18"/>
        <v>0.86491501521561642</v>
      </c>
      <c r="P189">
        <f t="shared" si="19"/>
        <v>254</v>
      </c>
      <c r="Q189">
        <f t="shared" si="20"/>
        <v>182</v>
      </c>
      <c r="R189">
        <f t="shared" si="21"/>
        <v>143</v>
      </c>
      <c r="S189">
        <f t="shared" si="22"/>
        <v>579</v>
      </c>
      <c r="T189">
        <f t="shared" si="23"/>
        <v>188</v>
      </c>
      <c r="U189" s="1" cm="1">
        <f t="array" ref="U189">MIN(ABS(M189:O189))</f>
        <v>0.30564833370444588</v>
      </c>
    </row>
    <row r="190" spans="1:21" x14ac:dyDescent="0.35">
      <c r="A190" t="s">
        <v>218</v>
      </c>
      <c r="B190" s="2">
        <v>1271.45</v>
      </c>
      <c r="C190" s="2">
        <v>459.75</v>
      </c>
      <c r="D190" s="2">
        <v>817.93</v>
      </c>
      <c r="E190" s="2">
        <v>3103.89</v>
      </c>
      <c r="F190" s="2">
        <v>11.11</v>
      </c>
      <c r="G190">
        <v>2</v>
      </c>
      <c r="H190">
        <v>9</v>
      </c>
      <c r="I190">
        <v>16</v>
      </c>
      <c r="J190">
        <v>0</v>
      </c>
      <c r="K190">
        <v>1</v>
      </c>
      <c r="L190">
        <v>2</v>
      </c>
      <c r="M190" s="1">
        <f t="shared" si="16"/>
        <v>-0.63840497070274105</v>
      </c>
      <c r="N190" s="1">
        <f t="shared" si="17"/>
        <v>-0.35669511188013692</v>
      </c>
      <c r="O190" s="1">
        <f t="shared" si="18"/>
        <v>1.44122065358449</v>
      </c>
      <c r="P190">
        <f t="shared" si="19"/>
        <v>286</v>
      </c>
      <c r="Q190">
        <f t="shared" si="20"/>
        <v>200</v>
      </c>
      <c r="R190">
        <f t="shared" si="21"/>
        <v>95</v>
      </c>
      <c r="S190">
        <f t="shared" si="22"/>
        <v>581</v>
      </c>
      <c r="T190">
        <f t="shared" si="23"/>
        <v>189</v>
      </c>
      <c r="U190" s="1" cm="1">
        <f t="array" ref="U190">MIN(ABS(M190:O190))</f>
        <v>0.35669511188013692</v>
      </c>
    </row>
    <row r="191" spans="1:21" x14ac:dyDescent="0.35">
      <c r="A191" t="s">
        <v>213</v>
      </c>
      <c r="B191" s="2">
        <v>540.13</v>
      </c>
      <c r="C191" s="2">
        <v>243.72</v>
      </c>
      <c r="D191" s="2">
        <v>354.85</v>
      </c>
      <c r="E191" s="2">
        <v>863.82</v>
      </c>
      <c r="F191" s="2">
        <v>11.12</v>
      </c>
      <c r="G191">
        <v>1</v>
      </c>
      <c r="H191">
        <v>6</v>
      </c>
      <c r="I191">
        <v>10</v>
      </c>
      <c r="J191">
        <v>0</v>
      </c>
      <c r="K191">
        <v>1</v>
      </c>
      <c r="L191">
        <v>2</v>
      </c>
      <c r="M191" s="1">
        <f t="shared" si="16"/>
        <v>-0.54877529483642828</v>
      </c>
      <c r="N191" s="1">
        <f t="shared" si="17"/>
        <v>-0.34302853016866308</v>
      </c>
      <c r="O191" s="1">
        <f t="shared" si="18"/>
        <v>0.59928165441652936</v>
      </c>
      <c r="P191">
        <f t="shared" si="19"/>
        <v>220</v>
      </c>
      <c r="Q191">
        <f t="shared" si="20"/>
        <v>195</v>
      </c>
      <c r="R191">
        <f t="shared" si="21"/>
        <v>169</v>
      </c>
      <c r="S191">
        <f t="shared" si="22"/>
        <v>584</v>
      </c>
      <c r="T191">
        <f t="shared" si="23"/>
        <v>190</v>
      </c>
      <c r="U191" s="1" cm="1">
        <f t="array" ref="U191">MIN(ABS(M191:O191))</f>
        <v>0.34302853016866308</v>
      </c>
    </row>
    <row r="192" spans="1:21" x14ac:dyDescent="0.35">
      <c r="A192" t="s">
        <v>203</v>
      </c>
      <c r="B192" s="2">
        <v>162.99</v>
      </c>
      <c r="C192" s="2">
        <v>101.77</v>
      </c>
      <c r="D192" s="2">
        <v>112.35</v>
      </c>
      <c r="E192" s="2">
        <v>165.6</v>
      </c>
      <c r="F192" s="2">
        <v>9.2100000000000009</v>
      </c>
      <c r="G192">
        <v>0</v>
      </c>
      <c r="H192">
        <v>1</v>
      </c>
      <c r="I192">
        <v>5</v>
      </c>
      <c r="J192">
        <v>0</v>
      </c>
      <c r="K192">
        <v>1</v>
      </c>
      <c r="L192">
        <v>2</v>
      </c>
      <c r="M192" s="1">
        <f t="shared" si="16"/>
        <v>-0.37560586539051477</v>
      </c>
      <c r="N192" s="1">
        <f t="shared" si="17"/>
        <v>-0.31069390760169346</v>
      </c>
      <c r="O192" s="1">
        <f t="shared" si="18"/>
        <v>1.6013252346769757E-2</v>
      </c>
      <c r="P192">
        <f t="shared" si="19"/>
        <v>145</v>
      </c>
      <c r="Q192">
        <f t="shared" si="20"/>
        <v>185</v>
      </c>
      <c r="R192">
        <f t="shared" si="21"/>
        <v>258</v>
      </c>
      <c r="S192">
        <f t="shared" si="22"/>
        <v>588</v>
      </c>
      <c r="T192">
        <f t="shared" si="23"/>
        <v>191</v>
      </c>
      <c r="U192" s="1" cm="1">
        <f t="array" ref="U192">MIN(ABS(M192:O192))</f>
        <v>1.6013252346769757E-2</v>
      </c>
    </row>
    <row r="193" spans="1:21" x14ac:dyDescent="0.35">
      <c r="A193" t="s">
        <v>231</v>
      </c>
      <c r="B193" s="2">
        <v>276.44</v>
      </c>
      <c r="C193" s="2">
        <v>149.12</v>
      </c>
      <c r="D193" s="2">
        <v>169.81</v>
      </c>
      <c r="E193" s="2">
        <v>371.78</v>
      </c>
      <c r="F193" s="2">
        <v>14.13</v>
      </c>
      <c r="G193">
        <v>1</v>
      </c>
      <c r="H193">
        <v>5</v>
      </c>
      <c r="I193">
        <v>9</v>
      </c>
      <c r="J193">
        <v>0</v>
      </c>
      <c r="K193">
        <v>1</v>
      </c>
      <c r="L193">
        <v>2</v>
      </c>
      <c r="M193" s="1">
        <f t="shared" si="16"/>
        <v>-0.46057010562870782</v>
      </c>
      <c r="N193" s="1">
        <f t="shared" si="17"/>
        <v>-0.38572565475329179</v>
      </c>
      <c r="O193" s="1">
        <f t="shared" si="18"/>
        <v>0.34488496599623786</v>
      </c>
      <c r="P193">
        <f t="shared" si="19"/>
        <v>179</v>
      </c>
      <c r="Q193">
        <f t="shared" si="20"/>
        <v>213</v>
      </c>
      <c r="R193">
        <f t="shared" si="21"/>
        <v>198</v>
      </c>
      <c r="S193">
        <f t="shared" si="22"/>
        <v>590</v>
      </c>
      <c r="T193">
        <f t="shared" si="23"/>
        <v>192</v>
      </c>
      <c r="U193" s="1" cm="1">
        <f t="array" ref="U193">MIN(ABS(M193:O193))</f>
        <v>0.34488496599623786</v>
      </c>
    </row>
    <row r="194" spans="1:21" x14ac:dyDescent="0.35">
      <c r="A194" t="s">
        <v>215</v>
      </c>
      <c r="B194" s="2">
        <v>24.64</v>
      </c>
      <c r="C194" s="2">
        <v>11.02</v>
      </c>
      <c r="D194" s="2">
        <v>16.02</v>
      </c>
      <c r="E194" s="2">
        <v>38.49</v>
      </c>
      <c r="F194" s="2">
        <v>13.26</v>
      </c>
      <c r="G194">
        <v>1</v>
      </c>
      <c r="H194">
        <v>5</v>
      </c>
      <c r="I194">
        <v>9</v>
      </c>
      <c r="J194">
        <v>0</v>
      </c>
      <c r="K194">
        <v>0</v>
      </c>
      <c r="L194">
        <v>2</v>
      </c>
      <c r="M194" s="1">
        <f t="shared" ref="M194:M257" si="24">C194/$B194-1</f>
        <v>-0.55275974025974028</v>
      </c>
      <c r="N194" s="1">
        <f t="shared" ref="N194:N257" si="25">D194/$B194-1</f>
        <v>-0.34983766233766234</v>
      </c>
      <c r="O194" s="1">
        <f t="shared" ref="O194:O257" si="26">E194/$B194-1</f>
        <v>0.5620941558441559</v>
      </c>
      <c r="P194">
        <f t="shared" ref="P194:P257" si="27">_xlfn.RANK.EQ(M194,M$2:M$564)</f>
        <v>222</v>
      </c>
      <c r="Q194">
        <f t="shared" ref="Q194:Q257" si="28">_xlfn.RANK.EQ(N194,N$2:N$564)</f>
        <v>197</v>
      </c>
      <c r="R194">
        <f t="shared" ref="R194:R257" si="29">_xlfn.RANK.EQ(O194,O$2:O$564)</f>
        <v>173</v>
      </c>
      <c r="S194">
        <f t="shared" ref="S194:S257" si="30">SUM(P194:R194)</f>
        <v>592</v>
      </c>
      <c r="T194">
        <f t="shared" ref="T194:T257" si="31">_xlfn.RANK.EQ(S194,S$2:S$564, 1)</f>
        <v>193</v>
      </c>
      <c r="U194" s="1" cm="1">
        <f t="array" ref="U194">MIN(ABS(M194:O194))</f>
        <v>0.34983766233766234</v>
      </c>
    </row>
    <row r="195" spans="1:21" x14ac:dyDescent="0.35">
      <c r="A195" t="s">
        <v>199</v>
      </c>
      <c r="B195" s="2">
        <v>4322.1499999999996</v>
      </c>
      <c r="C195" s="2">
        <v>2304.81</v>
      </c>
      <c r="D195" s="2">
        <v>3012.18</v>
      </c>
      <c r="E195" s="2">
        <v>4925.78</v>
      </c>
      <c r="F195" s="2">
        <v>7.92</v>
      </c>
      <c r="G195">
        <v>1</v>
      </c>
      <c r="H195">
        <v>3</v>
      </c>
      <c r="I195">
        <v>5</v>
      </c>
      <c r="J195">
        <v>0</v>
      </c>
      <c r="K195">
        <v>2</v>
      </c>
      <c r="L195">
        <v>3</v>
      </c>
      <c r="M195" s="1">
        <f t="shared" si="24"/>
        <v>-0.46674455999907449</v>
      </c>
      <c r="N195" s="1">
        <f t="shared" si="25"/>
        <v>-0.30308295639901439</v>
      </c>
      <c r="O195" s="1">
        <f t="shared" si="26"/>
        <v>0.13965966012285547</v>
      </c>
      <c r="P195">
        <f t="shared" si="27"/>
        <v>181</v>
      </c>
      <c r="Q195">
        <f t="shared" si="28"/>
        <v>181</v>
      </c>
      <c r="R195">
        <f t="shared" si="29"/>
        <v>232</v>
      </c>
      <c r="S195">
        <f t="shared" si="30"/>
        <v>594</v>
      </c>
      <c r="T195">
        <f t="shared" si="31"/>
        <v>194</v>
      </c>
      <c r="U195" s="1" cm="1">
        <f t="array" ref="U195">MIN(ABS(M195:O195))</f>
        <v>0.13965966012285547</v>
      </c>
    </row>
    <row r="196" spans="1:21" x14ac:dyDescent="0.35">
      <c r="A196" t="s">
        <v>209</v>
      </c>
      <c r="B196" s="2">
        <v>32.79</v>
      </c>
      <c r="C196" s="2">
        <v>14.64</v>
      </c>
      <c r="D196" s="2">
        <v>22.02</v>
      </c>
      <c r="E196" s="2">
        <v>50.21</v>
      </c>
      <c r="F196" s="2">
        <v>9.15</v>
      </c>
      <c r="G196">
        <v>1</v>
      </c>
      <c r="H196">
        <v>5</v>
      </c>
      <c r="I196">
        <v>10</v>
      </c>
      <c r="J196">
        <v>0</v>
      </c>
      <c r="K196">
        <v>2</v>
      </c>
      <c r="L196">
        <v>4</v>
      </c>
      <c r="M196" s="1">
        <f t="shared" si="24"/>
        <v>-0.55352241537053981</v>
      </c>
      <c r="N196" s="1">
        <f t="shared" si="25"/>
        <v>-0.32845379688929555</v>
      </c>
      <c r="O196" s="1">
        <f t="shared" si="26"/>
        <v>0.53125953034461726</v>
      </c>
      <c r="P196">
        <f t="shared" si="27"/>
        <v>224</v>
      </c>
      <c r="Q196">
        <f t="shared" si="28"/>
        <v>191</v>
      </c>
      <c r="R196">
        <f t="shared" si="29"/>
        <v>179</v>
      </c>
      <c r="S196">
        <f t="shared" si="30"/>
        <v>594</v>
      </c>
      <c r="T196">
        <f t="shared" si="31"/>
        <v>194</v>
      </c>
      <c r="U196" s="1" cm="1">
        <f t="array" ref="U196">MIN(ABS(M196:O196))</f>
        <v>0.32845379688929555</v>
      </c>
    </row>
    <row r="197" spans="1:21" x14ac:dyDescent="0.35">
      <c r="A197" t="s">
        <v>225</v>
      </c>
      <c r="B197" s="2">
        <v>131.94</v>
      </c>
      <c r="C197" s="2">
        <v>85.26</v>
      </c>
      <c r="D197" s="2">
        <v>83.31</v>
      </c>
      <c r="E197" s="2">
        <v>131.06</v>
      </c>
      <c r="F197" s="2">
        <v>11.89</v>
      </c>
      <c r="G197">
        <v>-3</v>
      </c>
      <c r="H197">
        <v>1</v>
      </c>
      <c r="I197">
        <v>5</v>
      </c>
      <c r="J197">
        <v>0</v>
      </c>
      <c r="K197">
        <v>0</v>
      </c>
      <c r="L197">
        <v>2</v>
      </c>
      <c r="M197" s="1">
        <f t="shared" si="24"/>
        <v>-0.35379718053660747</v>
      </c>
      <c r="N197" s="1">
        <f t="shared" si="25"/>
        <v>-0.36857662573897221</v>
      </c>
      <c r="O197" s="1">
        <f t="shared" si="26"/>
        <v>-6.6696983477337879E-3</v>
      </c>
      <c r="P197">
        <f t="shared" si="27"/>
        <v>133</v>
      </c>
      <c r="Q197">
        <f t="shared" si="28"/>
        <v>207</v>
      </c>
      <c r="R197">
        <f t="shared" si="29"/>
        <v>261</v>
      </c>
      <c r="S197">
        <f t="shared" si="30"/>
        <v>601</v>
      </c>
      <c r="T197">
        <f t="shared" si="31"/>
        <v>196</v>
      </c>
      <c r="U197" s="1" cm="1">
        <f t="array" ref="U197">MIN(ABS(M197:O197))</f>
        <v>6.6696983477337879E-3</v>
      </c>
    </row>
    <row r="198" spans="1:21" x14ac:dyDescent="0.35">
      <c r="A198" t="s">
        <v>216</v>
      </c>
      <c r="B198" s="2">
        <v>124.64</v>
      </c>
      <c r="C198" s="2">
        <v>59.73</v>
      </c>
      <c r="D198" s="2">
        <v>80.790000000000006</v>
      </c>
      <c r="E198" s="2">
        <v>169.5</v>
      </c>
      <c r="F198" s="2">
        <v>11.68</v>
      </c>
      <c r="G198">
        <v>1</v>
      </c>
      <c r="H198">
        <v>4</v>
      </c>
      <c r="I198">
        <v>6</v>
      </c>
      <c r="J198">
        <v>0</v>
      </c>
      <c r="K198">
        <v>1</v>
      </c>
      <c r="L198">
        <v>2</v>
      </c>
      <c r="M198" s="1">
        <f t="shared" si="24"/>
        <v>-0.5207798459563544</v>
      </c>
      <c r="N198" s="1">
        <f t="shared" si="25"/>
        <v>-0.35181322207958921</v>
      </c>
      <c r="O198" s="1">
        <f t="shared" si="26"/>
        <v>0.35991655969191272</v>
      </c>
      <c r="P198">
        <f t="shared" si="27"/>
        <v>211</v>
      </c>
      <c r="Q198">
        <f t="shared" si="28"/>
        <v>198</v>
      </c>
      <c r="R198">
        <f t="shared" si="29"/>
        <v>196</v>
      </c>
      <c r="S198">
        <f t="shared" si="30"/>
        <v>605</v>
      </c>
      <c r="T198">
        <f t="shared" si="31"/>
        <v>197</v>
      </c>
      <c r="U198" s="1" cm="1">
        <f t="array" ref="U198">MIN(ABS(M198:O198))</f>
        <v>0.35181322207958921</v>
      </c>
    </row>
    <row r="199" spans="1:21" x14ac:dyDescent="0.35">
      <c r="A199" t="s">
        <v>206</v>
      </c>
      <c r="B199" s="2">
        <v>292.39</v>
      </c>
      <c r="C199" s="2">
        <v>154.69999999999999</v>
      </c>
      <c r="D199" s="2">
        <v>200.65</v>
      </c>
      <c r="E199" s="2">
        <v>329.56</v>
      </c>
      <c r="F199" s="2">
        <v>8.23</v>
      </c>
      <c r="G199">
        <v>1</v>
      </c>
      <c r="H199">
        <v>3</v>
      </c>
      <c r="I199">
        <v>6</v>
      </c>
      <c r="J199">
        <v>0</v>
      </c>
      <c r="K199">
        <v>2</v>
      </c>
      <c r="L199">
        <v>3</v>
      </c>
      <c r="M199" s="1">
        <f t="shared" si="24"/>
        <v>-0.47091213789801289</v>
      </c>
      <c r="N199" s="1">
        <f t="shared" si="25"/>
        <v>-0.31375902048633664</v>
      </c>
      <c r="O199" s="1">
        <f t="shared" si="26"/>
        <v>0.1271247306679435</v>
      </c>
      <c r="P199">
        <f t="shared" si="27"/>
        <v>185</v>
      </c>
      <c r="Q199">
        <f t="shared" si="28"/>
        <v>188</v>
      </c>
      <c r="R199">
        <f t="shared" si="29"/>
        <v>233</v>
      </c>
      <c r="S199">
        <f t="shared" si="30"/>
        <v>606</v>
      </c>
      <c r="T199">
        <f t="shared" si="31"/>
        <v>198</v>
      </c>
      <c r="U199" s="1" cm="1">
        <f t="array" ref="U199">MIN(ABS(M199:O199))</f>
        <v>0.1271247306679435</v>
      </c>
    </row>
    <row r="200" spans="1:21" x14ac:dyDescent="0.35">
      <c r="A200" t="s">
        <v>220</v>
      </c>
      <c r="B200" s="2">
        <v>326.14999999999998</v>
      </c>
      <c r="C200" s="2">
        <v>133.63999999999999</v>
      </c>
      <c r="D200" s="2">
        <v>208.42</v>
      </c>
      <c r="E200" s="2">
        <v>566.55999999999995</v>
      </c>
      <c r="F200" s="2">
        <v>11.64</v>
      </c>
      <c r="G200">
        <v>1</v>
      </c>
      <c r="H200">
        <v>6</v>
      </c>
      <c r="I200">
        <v>10</v>
      </c>
      <c r="J200">
        <v>0</v>
      </c>
      <c r="K200">
        <v>0</v>
      </c>
      <c r="L200">
        <v>2</v>
      </c>
      <c r="M200" s="1">
        <f t="shared" si="24"/>
        <v>-0.59024988502222908</v>
      </c>
      <c r="N200" s="1">
        <f t="shared" si="25"/>
        <v>-0.36096887934999233</v>
      </c>
      <c r="O200" s="1">
        <f t="shared" si="26"/>
        <v>0.73711482446726961</v>
      </c>
      <c r="P200">
        <f t="shared" si="27"/>
        <v>247</v>
      </c>
      <c r="Q200">
        <f t="shared" si="28"/>
        <v>202</v>
      </c>
      <c r="R200">
        <f t="shared" si="29"/>
        <v>157</v>
      </c>
      <c r="S200">
        <f t="shared" si="30"/>
        <v>606</v>
      </c>
      <c r="T200">
        <f t="shared" si="31"/>
        <v>198</v>
      </c>
      <c r="U200" s="1" cm="1">
        <f t="array" ref="U200">MIN(ABS(M200:O200))</f>
        <v>0.36096887934999233</v>
      </c>
    </row>
    <row r="201" spans="1:21" x14ac:dyDescent="0.35">
      <c r="A201" t="s">
        <v>208</v>
      </c>
      <c r="B201" s="2">
        <v>144.38</v>
      </c>
      <c r="C201" s="2">
        <v>82.96</v>
      </c>
      <c r="D201" s="2">
        <v>97.51</v>
      </c>
      <c r="E201" s="2">
        <v>148.97</v>
      </c>
      <c r="F201" s="2">
        <v>11.22</v>
      </c>
      <c r="G201">
        <v>1</v>
      </c>
      <c r="H201">
        <v>3</v>
      </c>
      <c r="I201">
        <v>5</v>
      </c>
      <c r="J201">
        <v>0</v>
      </c>
      <c r="K201">
        <v>0</v>
      </c>
      <c r="L201">
        <v>2</v>
      </c>
      <c r="M201" s="1">
        <f t="shared" si="24"/>
        <v>-0.4254051807729603</v>
      </c>
      <c r="N201" s="1">
        <f t="shared" si="25"/>
        <v>-0.32462945006233546</v>
      </c>
      <c r="O201" s="1">
        <f t="shared" si="26"/>
        <v>3.1791106801495994E-2</v>
      </c>
      <c r="P201">
        <f t="shared" si="27"/>
        <v>165</v>
      </c>
      <c r="Q201">
        <f t="shared" si="28"/>
        <v>190</v>
      </c>
      <c r="R201">
        <f t="shared" si="29"/>
        <v>253</v>
      </c>
      <c r="S201">
        <f t="shared" si="30"/>
        <v>608</v>
      </c>
      <c r="T201">
        <f t="shared" si="31"/>
        <v>200</v>
      </c>
      <c r="U201" s="1" cm="1">
        <f t="array" ref="U201">MIN(ABS(M201:O201))</f>
        <v>3.1791106801495994E-2</v>
      </c>
    </row>
    <row r="202" spans="1:21" x14ac:dyDescent="0.35">
      <c r="A202" t="s">
        <v>219</v>
      </c>
      <c r="B202" s="2">
        <v>74.290000000000006</v>
      </c>
      <c r="C202" s="2">
        <v>27.58</v>
      </c>
      <c r="D202" s="2">
        <v>47.64</v>
      </c>
      <c r="E202" s="2">
        <v>146.88</v>
      </c>
      <c r="F202" s="2">
        <v>11.42</v>
      </c>
      <c r="G202">
        <v>2</v>
      </c>
      <c r="H202">
        <v>7</v>
      </c>
      <c r="I202">
        <v>13</v>
      </c>
      <c r="J202">
        <v>0</v>
      </c>
      <c r="K202">
        <v>0</v>
      </c>
      <c r="L202">
        <v>2</v>
      </c>
      <c r="M202" s="1">
        <f t="shared" si="24"/>
        <v>-0.62875218737380534</v>
      </c>
      <c r="N202" s="1">
        <f t="shared" si="25"/>
        <v>-0.35872930407861092</v>
      </c>
      <c r="O202" s="1">
        <f t="shared" si="26"/>
        <v>0.97711670480549184</v>
      </c>
      <c r="P202">
        <f t="shared" si="27"/>
        <v>282</v>
      </c>
      <c r="Q202">
        <f t="shared" si="28"/>
        <v>201</v>
      </c>
      <c r="R202">
        <f t="shared" si="29"/>
        <v>128</v>
      </c>
      <c r="S202">
        <f t="shared" si="30"/>
        <v>611</v>
      </c>
      <c r="T202">
        <f t="shared" si="31"/>
        <v>201</v>
      </c>
      <c r="U202" s="1" cm="1">
        <f t="array" ref="U202">MIN(ABS(M202:O202))</f>
        <v>0.35872930407861092</v>
      </c>
    </row>
    <row r="203" spans="1:21" x14ac:dyDescent="0.35">
      <c r="A203" t="s">
        <v>223</v>
      </c>
      <c r="B203" s="2">
        <v>1111.6500000000001</v>
      </c>
      <c r="C203" s="2">
        <v>463.23</v>
      </c>
      <c r="D203" s="2">
        <v>706.26</v>
      </c>
      <c r="E203" s="2">
        <v>1805.3</v>
      </c>
      <c r="F203" s="2">
        <v>10.88</v>
      </c>
      <c r="G203">
        <v>1</v>
      </c>
      <c r="H203">
        <v>6</v>
      </c>
      <c r="I203">
        <v>11</v>
      </c>
      <c r="J203">
        <v>0</v>
      </c>
      <c r="K203">
        <v>0</v>
      </c>
      <c r="L203">
        <v>2</v>
      </c>
      <c r="M203" s="1">
        <f t="shared" si="24"/>
        <v>-0.5832951018755903</v>
      </c>
      <c r="N203" s="1">
        <f t="shared" si="25"/>
        <v>-0.36467413304547303</v>
      </c>
      <c r="O203" s="1">
        <f t="shared" si="26"/>
        <v>0.62398236855125244</v>
      </c>
      <c r="P203">
        <f t="shared" si="27"/>
        <v>242</v>
      </c>
      <c r="Q203">
        <f t="shared" si="28"/>
        <v>205</v>
      </c>
      <c r="R203">
        <f t="shared" si="29"/>
        <v>165</v>
      </c>
      <c r="S203">
        <f t="shared" si="30"/>
        <v>612</v>
      </c>
      <c r="T203">
        <f t="shared" si="31"/>
        <v>202</v>
      </c>
      <c r="U203" s="1" cm="1">
        <f t="array" ref="U203">MIN(ABS(M203:O203))</f>
        <v>0.36467413304547303</v>
      </c>
    </row>
    <row r="204" spans="1:21" x14ac:dyDescent="0.35">
      <c r="A204" t="s">
        <v>214</v>
      </c>
      <c r="B204" s="2">
        <v>183.32</v>
      </c>
      <c r="C204" s="2">
        <v>110.38</v>
      </c>
      <c r="D204" s="2">
        <v>119.55</v>
      </c>
      <c r="E204" s="2">
        <v>181.54</v>
      </c>
      <c r="F204" s="2">
        <v>10.66</v>
      </c>
      <c r="G204">
        <v>0</v>
      </c>
      <c r="H204">
        <v>1</v>
      </c>
      <c r="I204">
        <v>5</v>
      </c>
      <c r="J204">
        <v>0</v>
      </c>
      <c r="K204">
        <v>1</v>
      </c>
      <c r="L204">
        <v>2</v>
      </c>
      <c r="M204" s="1">
        <f t="shared" si="24"/>
        <v>-0.3978834824350862</v>
      </c>
      <c r="N204" s="1">
        <f t="shared" si="25"/>
        <v>-0.34786166266637575</v>
      </c>
      <c r="O204" s="1">
        <f t="shared" si="26"/>
        <v>-9.7097970761510499E-3</v>
      </c>
      <c r="P204">
        <f t="shared" si="27"/>
        <v>151</v>
      </c>
      <c r="Q204">
        <f t="shared" si="28"/>
        <v>196</v>
      </c>
      <c r="R204">
        <f t="shared" si="29"/>
        <v>266</v>
      </c>
      <c r="S204">
        <f t="shared" si="30"/>
        <v>613</v>
      </c>
      <c r="T204">
        <f t="shared" si="31"/>
        <v>203</v>
      </c>
      <c r="U204" s="1" cm="1">
        <f t="array" ref="U204">MIN(ABS(M204:O204))</f>
        <v>9.7097970761510499E-3</v>
      </c>
    </row>
    <row r="205" spans="1:21" x14ac:dyDescent="0.35">
      <c r="A205" t="s">
        <v>212</v>
      </c>
      <c r="B205" s="2">
        <v>83.81</v>
      </c>
      <c r="C205" s="2">
        <v>47.86</v>
      </c>
      <c r="D205" s="2">
        <v>55.44</v>
      </c>
      <c r="E205" s="2">
        <v>86.12</v>
      </c>
      <c r="F205" s="2">
        <v>9.2899999999999991</v>
      </c>
      <c r="G205">
        <v>0</v>
      </c>
      <c r="H205">
        <v>1</v>
      </c>
      <c r="I205">
        <v>5</v>
      </c>
      <c r="J205">
        <v>0</v>
      </c>
      <c r="K205">
        <v>1</v>
      </c>
      <c r="L205">
        <v>2</v>
      </c>
      <c r="M205" s="1">
        <f t="shared" si="24"/>
        <v>-0.42894642644075887</v>
      </c>
      <c r="N205" s="1">
        <f t="shared" si="25"/>
        <v>-0.33850375850137215</v>
      </c>
      <c r="O205" s="1">
        <f t="shared" si="26"/>
        <v>2.7562343395776123E-2</v>
      </c>
      <c r="P205">
        <f t="shared" si="27"/>
        <v>167</v>
      </c>
      <c r="Q205">
        <f t="shared" si="28"/>
        <v>194</v>
      </c>
      <c r="R205">
        <f t="shared" si="29"/>
        <v>254</v>
      </c>
      <c r="S205">
        <f t="shared" si="30"/>
        <v>615</v>
      </c>
      <c r="T205">
        <f t="shared" si="31"/>
        <v>204</v>
      </c>
      <c r="U205" s="1" cm="1">
        <f t="array" ref="U205">MIN(ABS(M205:O205))</f>
        <v>2.7562343395776123E-2</v>
      </c>
    </row>
    <row r="206" spans="1:21" x14ac:dyDescent="0.35">
      <c r="A206" t="s">
        <v>217</v>
      </c>
      <c r="B206" s="2">
        <v>15.42</v>
      </c>
      <c r="C206" s="2">
        <v>8.93</v>
      </c>
      <c r="D206" s="2">
        <v>9.93</v>
      </c>
      <c r="E206" s="2">
        <v>15.82</v>
      </c>
      <c r="F206" s="2">
        <v>11.76</v>
      </c>
      <c r="G206">
        <v>0</v>
      </c>
      <c r="H206">
        <v>1</v>
      </c>
      <c r="I206">
        <v>5</v>
      </c>
      <c r="J206">
        <v>0</v>
      </c>
      <c r="K206">
        <v>0</v>
      </c>
      <c r="L206">
        <v>2</v>
      </c>
      <c r="M206" s="1">
        <f t="shared" si="24"/>
        <v>-0.42088197146562911</v>
      </c>
      <c r="N206" s="1">
        <f t="shared" si="25"/>
        <v>-0.35603112840466933</v>
      </c>
      <c r="O206" s="1">
        <f t="shared" si="26"/>
        <v>2.5940337224384047E-2</v>
      </c>
      <c r="P206">
        <f t="shared" si="27"/>
        <v>162</v>
      </c>
      <c r="Q206">
        <f t="shared" si="28"/>
        <v>199</v>
      </c>
      <c r="R206">
        <f t="shared" si="29"/>
        <v>255</v>
      </c>
      <c r="S206">
        <f t="shared" si="30"/>
        <v>616</v>
      </c>
      <c r="T206">
        <f t="shared" si="31"/>
        <v>205</v>
      </c>
      <c r="U206" s="1" cm="1">
        <f t="array" ref="U206">MIN(ABS(M206:O206))</f>
        <v>2.5940337224384047E-2</v>
      </c>
    </row>
    <row r="207" spans="1:21" x14ac:dyDescent="0.35">
      <c r="A207" t="s">
        <v>221</v>
      </c>
      <c r="B207" s="2">
        <v>5.37</v>
      </c>
      <c r="C207" s="2">
        <v>3.13</v>
      </c>
      <c r="D207" s="2">
        <v>3.42</v>
      </c>
      <c r="E207" s="2">
        <v>5.33</v>
      </c>
      <c r="F207" s="2">
        <v>14.26</v>
      </c>
      <c r="G207">
        <v>0</v>
      </c>
      <c r="H207">
        <v>1</v>
      </c>
      <c r="I207">
        <v>5</v>
      </c>
      <c r="J207">
        <v>0</v>
      </c>
      <c r="K207">
        <v>0</v>
      </c>
      <c r="L207">
        <v>2</v>
      </c>
      <c r="M207" s="1">
        <f t="shared" si="24"/>
        <v>-0.41713221601489758</v>
      </c>
      <c r="N207" s="1">
        <f t="shared" si="25"/>
        <v>-0.36312849162011174</v>
      </c>
      <c r="O207" s="1">
        <f t="shared" si="26"/>
        <v>-7.4487895716945918E-3</v>
      </c>
      <c r="P207">
        <f t="shared" si="27"/>
        <v>159</v>
      </c>
      <c r="Q207">
        <f t="shared" si="28"/>
        <v>203</v>
      </c>
      <c r="R207">
        <f t="shared" si="29"/>
        <v>263</v>
      </c>
      <c r="S207">
        <f t="shared" si="30"/>
        <v>625</v>
      </c>
      <c r="T207">
        <f t="shared" si="31"/>
        <v>206</v>
      </c>
      <c r="U207" s="1" cm="1">
        <f t="array" ref="U207">MIN(ABS(M207:O207))</f>
        <v>7.4487895716945918E-3</v>
      </c>
    </row>
    <row r="208" spans="1:21" x14ac:dyDescent="0.35">
      <c r="A208" t="s">
        <v>227</v>
      </c>
      <c r="B208" s="2">
        <v>17.420000000000002</v>
      </c>
      <c r="C208" s="2">
        <v>8.4600000000000009</v>
      </c>
      <c r="D208" s="2">
        <v>10.96</v>
      </c>
      <c r="E208" s="2">
        <v>21.6</v>
      </c>
      <c r="F208" s="2">
        <v>12.9</v>
      </c>
      <c r="G208">
        <v>0</v>
      </c>
      <c r="H208">
        <v>2</v>
      </c>
      <c r="I208">
        <v>5</v>
      </c>
      <c r="J208">
        <v>0</v>
      </c>
      <c r="K208">
        <v>0</v>
      </c>
      <c r="L208">
        <v>2</v>
      </c>
      <c r="M208" s="1">
        <f t="shared" si="24"/>
        <v>-0.51435132032146957</v>
      </c>
      <c r="N208" s="1">
        <f t="shared" si="25"/>
        <v>-0.37083811710677383</v>
      </c>
      <c r="O208" s="1">
        <f t="shared" si="26"/>
        <v>0.23995407577497119</v>
      </c>
      <c r="P208">
        <f t="shared" si="27"/>
        <v>207</v>
      </c>
      <c r="Q208">
        <f t="shared" si="28"/>
        <v>209</v>
      </c>
      <c r="R208">
        <f t="shared" si="29"/>
        <v>214</v>
      </c>
      <c r="S208">
        <f t="shared" si="30"/>
        <v>630</v>
      </c>
      <c r="T208">
        <f t="shared" si="31"/>
        <v>207</v>
      </c>
      <c r="U208" s="1" cm="1">
        <f t="array" ref="U208">MIN(ABS(M208:O208))</f>
        <v>0.23995407577497119</v>
      </c>
    </row>
    <row r="209" spans="1:21" x14ac:dyDescent="0.35">
      <c r="A209" t="s">
        <v>226</v>
      </c>
      <c r="B209" s="2">
        <v>85.07</v>
      </c>
      <c r="C209" s="2">
        <v>53.46</v>
      </c>
      <c r="D209" s="2">
        <v>53.6</v>
      </c>
      <c r="E209" s="2">
        <v>78.5</v>
      </c>
      <c r="F209" s="2">
        <v>12.76</v>
      </c>
      <c r="G209">
        <v>-3</v>
      </c>
      <c r="H209">
        <v>1</v>
      </c>
      <c r="I209">
        <v>5</v>
      </c>
      <c r="J209">
        <v>0</v>
      </c>
      <c r="K209">
        <v>0</v>
      </c>
      <c r="L209">
        <v>2</v>
      </c>
      <c r="M209" s="1">
        <f t="shared" si="24"/>
        <v>-0.37157634888915003</v>
      </c>
      <c r="N209" s="1">
        <f t="shared" si="25"/>
        <v>-0.36993064535088749</v>
      </c>
      <c r="O209" s="1">
        <f t="shared" si="26"/>
        <v>-7.7230516045609376E-2</v>
      </c>
      <c r="P209">
        <f t="shared" si="27"/>
        <v>143</v>
      </c>
      <c r="Q209">
        <f t="shared" si="28"/>
        <v>208</v>
      </c>
      <c r="R209">
        <f t="shared" si="29"/>
        <v>283</v>
      </c>
      <c r="S209">
        <f t="shared" si="30"/>
        <v>634</v>
      </c>
      <c r="T209">
        <f t="shared" si="31"/>
        <v>208</v>
      </c>
      <c r="U209" s="1" cm="1">
        <f t="array" ref="U209">MIN(ABS(M209:O209))</f>
        <v>7.7230516045609376E-2</v>
      </c>
    </row>
    <row r="210" spans="1:21" x14ac:dyDescent="0.35">
      <c r="A210" t="s">
        <v>235</v>
      </c>
      <c r="B210" s="2">
        <v>266.02</v>
      </c>
      <c r="C210" s="2">
        <v>76.14</v>
      </c>
      <c r="D210" s="2">
        <v>162.6</v>
      </c>
      <c r="E210" s="2">
        <v>762.25</v>
      </c>
      <c r="F210" s="2">
        <v>7.98</v>
      </c>
      <c r="G210">
        <v>2</v>
      </c>
      <c r="H210">
        <v>10</v>
      </c>
      <c r="I210">
        <v>18</v>
      </c>
      <c r="J210">
        <v>0</v>
      </c>
      <c r="K210">
        <v>2</v>
      </c>
      <c r="L210">
        <v>3</v>
      </c>
      <c r="M210" s="1">
        <f t="shared" si="24"/>
        <v>-0.71378091872791516</v>
      </c>
      <c r="N210" s="1">
        <f t="shared" si="25"/>
        <v>-0.38876776182241934</v>
      </c>
      <c r="O210" s="1">
        <f t="shared" si="26"/>
        <v>1.8653860611984063</v>
      </c>
      <c r="P210">
        <f t="shared" si="27"/>
        <v>345</v>
      </c>
      <c r="Q210">
        <f t="shared" si="28"/>
        <v>217</v>
      </c>
      <c r="R210">
        <f t="shared" si="29"/>
        <v>73</v>
      </c>
      <c r="S210">
        <f t="shared" si="30"/>
        <v>635</v>
      </c>
      <c r="T210">
        <f t="shared" si="31"/>
        <v>209</v>
      </c>
      <c r="U210" s="1" cm="1">
        <f t="array" ref="U210">MIN(ABS(M210:O210))</f>
        <v>0.38876776182241934</v>
      </c>
    </row>
    <row r="211" spans="1:21" x14ac:dyDescent="0.35">
      <c r="A211" t="s">
        <v>240</v>
      </c>
      <c r="B211" s="2">
        <v>28.75</v>
      </c>
      <c r="C211" s="2">
        <v>10.26</v>
      </c>
      <c r="D211" s="2">
        <v>17.22</v>
      </c>
      <c r="E211" s="2">
        <v>57.18</v>
      </c>
      <c r="F211" s="2">
        <v>13.23</v>
      </c>
      <c r="G211">
        <v>2</v>
      </c>
      <c r="H211">
        <v>7</v>
      </c>
      <c r="I211">
        <v>13</v>
      </c>
      <c r="J211">
        <v>0</v>
      </c>
      <c r="K211">
        <v>0</v>
      </c>
      <c r="L211">
        <v>2</v>
      </c>
      <c r="M211" s="1">
        <f t="shared" si="24"/>
        <v>-0.64313043478260878</v>
      </c>
      <c r="N211" s="1">
        <f t="shared" si="25"/>
        <v>-0.40104347826086961</v>
      </c>
      <c r="O211" s="1">
        <f t="shared" si="26"/>
        <v>0.98886956521739133</v>
      </c>
      <c r="P211">
        <f t="shared" si="27"/>
        <v>287</v>
      </c>
      <c r="Q211">
        <f t="shared" si="28"/>
        <v>222</v>
      </c>
      <c r="R211">
        <f t="shared" si="29"/>
        <v>126</v>
      </c>
      <c r="S211">
        <f t="shared" si="30"/>
        <v>635</v>
      </c>
      <c r="T211">
        <f t="shared" si="31"/>
        <v>209</v>
      </c>
      <c r="U211" s="1" cm="1">
        <f t="array" ref="U211">MIN(ABS(M211:O211))</f>
        <v>0.40104347826086961</v>
      </c>
    </row>
    <row r="212" spans="1:21" x14ac:dyDescent="0.35">
      <c r="A212" t="s">
        <v>233</v>
      </c>
      <c r="B212" s="2">
        <v>506.08</v>
      </c>
      <c r="C212" s="2">
        <v>161.28</v>
      </c>
      <c r="D212" s="2">
        <v>309.95999999999998</v>
      </c>
      <c r="E212" s="2">
        <v>1199.6400000000001</v>
      </c>
      <c r="F212" s="2">
        <v>9.77</v>
      </c>
      <c r="G212">
        <v>2</v>
      </c>
      <c r="H212">
        <v>9</v>
      </c>
      <c r="I212">
        <v>16</v>
      </c>
      <c r="J212">
        <v>0</v>
      </c>
      <c r="K212">
        <v>1</v>
      </c>
      <c r="L212">
        <v>2</v>
      </c>
      <c r="M212" s="1">
        <f t="shared" si="24"/>
        <v>-0.6813152070818842</v>
      </c>
      <c r="N212" s="1">
        <f t="shared" si="25"/>
        <v>-0.3875276636104964</v>
      </c>
      <c r="O212" s="1">
        <f t="shared" si="26"/>
        <v>1.3704552639898835</v>
      </c>
      <c r="P212">
        <f t="shared" si="27"/>
        <v>319</v>
      </c>
      <c r="Q212">
        <f t="shared" si="28"/>
        <v>215</v>
      </c>
      <c r="R212">
        <f t="shared" si="29"/>
        <v>103</v>
      </c>
      <c r="S212">
        <f t="shared" si="30"/>
        <v>637</v>
      </c>
      <c r="T212">
        <f t="shared" si="31"/>
        <v>211</v>
      </c>
      <c r="U212" s="1" cm="1">
        <f t="array" ref="U212">MIN(ABS(M212:O212))</f>
        <v>0.3875276636104964</v>
      </c>
    </row>
    <row r="213" spans="1:21" x14ac:dyDescent="0.35">
      <c r="A213" t="s">
        <v>242</v>
      </c>
      <c r="B213" s="2">
        <v>46.14</v>
      </c>
      <c r="C213" s="2">
        <v>13.87</v>
      </c>
      <c r="D213" s="2">
        <v>27.08</v>
      </c>
      <c r="E213" s="2">
        <v>118.99</v>
      </c>
      <c r="F213" s="2">
        <v>8.75</v>
      </c>
      <c r="G213">
        <v>2</v>
      </c>
      <c r="H213">
        <v>10</v>
      </c>
      <c r="I213">
        <v>18</v>
      </c>
      <c r="J213">
        <v>0</v>
      </c>
      <c r="K213">
        <v>2</v>
      </c>
      <c r="L213">
        <v>3</v>
      </c>
      <c r="M213" s="1">
        <f t="shared" si="24"/>
        <v>-0.69939315127871704</v>
      </c>
      <c r="N213" s="1">
        <f t="shared" si="25"/>
        <v>-0.41309059384482016</v>
      </c>
      <c r="O213" s="1">
        <f t="shared" si="26"/>
        <v>1.5788903337667968</v>
      </c>
      <c r="P213">
        <f t="shared" si="27"/>
        <v>334</v>
      </c>
      <c r="Q213">
        <f t="shared" si="28"/>
        <v>224</v>
      </c>
      <c r="R213">
        <f t="shared" si="29"/>
        <v>85</v>
      </c>
      <c r="S213">
        <f t="shared" si="30"/>
        <v>643</v>
      </c>
      <c r="T213">
        <f t="shared" si="31"/>
        <v>212</v>
      </c>
      <c r="U213" s="1" cm="1">
        <f t="array" ref="U213">MIN(ABS(M213:O213))</f>
        <v>0.41309059384482016</v>
      </c>
    </row>
    <row r="214" spans="1:21" x14ac:dyDescent="0.35">
      <c r="A214" t="s">
        <v>239</v>
      </c>
      <c r="B214" s="2">
        <v>27.78</v>
      </c>
      <c r="C214" s="2">
        <v>8.99</v>
      </c>
      <c r="D214" s="2">
        <v>16.71</v>
      </c>
      <c r="E214" s="2">
        <v>61.81</v>
      </c>
      <c r="F214" s="2">
        <v>10.94</v>
      </c>
      <c r="G214">
        <v>2</v>
      </c>
      <c r="H214">
        <v>9</v>
      </c>
      <c r="I214">
        <v>15</v>
      </c>
      <c r="J214">
        <v>0</v>
      </c>
      <c r="K214">
        <v>1</v>
      </c>
      <c r="L214">
        <v>2</v>
      </c>
      <c r="M214" s="1">
        <f t="shared" si="24"/>
        <v>-0.67638588912886966</v>
      </c>
      <c r="N214" s="1">
        <f t="shared" si="25"/>
        <v>-0.39848812095032393</v>
      </c>
      <c r="O214" s="1">
        <f t="shared" si="26"/>
        <v>1.2249820014398849</v>
      </c>
      <c r="P214">
        <f t="shared" si="27"/>
        <v>312</v>
      </c>
      <c r="Q214">
        <f t="shared" si="28"/>
        <v>221</v>
      </c>
      <c r="R214">
        <f t="shared" si="29"/>
        <v>111</v>
      </c>
      <c r="S214">
        <f t="shared" si="30"/>
        <v>644</v>
      </c>
      <c r="T214">
        <f t="shared" si="31"/>
        <v>213</v>
      </c>
      <c r="U214" s="1" cm="1">
        <f t="array" ref="U214">MIN(ABS(M214:O214))</f>
        <v>0.39848812095032393</v>
      </c>
    </row>
    <row r="215" spans="1:21" x14ac:dyDescent="0.35">
      <c r="A215" t="s">
        <v>228</v>
      </c>
      <c r="B215" s="2">
        <v>62.89</v>
      </c>
      <c r="C215" s="2">
        <v>36.44</v>
      </c>
      <c r="D215" s="2">
        <v>39.54</v>
      </c>
      <c r="E215" s="2">
        <v>60.25</v>
      </c>
      <c r="F215" s="2">
        <v>11.97</v>
      </c>
      <c r="G215">
        <v>0</v>
      </c>
      <c r="H215">
        <v>1</v>
      </c>
      <c r="I215">
        <v>5</v>
      </c>
      <c r="J215">
        <v>0</v>
      </c>
      <c r="K215">
        <v>0</v>
      </c>
      <c r="L215">
        <v>2</v>
      </c>
      <c r="M215" s="1">
        <f t="shared" si="24"/>
        <v>-0.42057560820480211</v>
      </c>
      <c r="N215" s="1">
        <f t="shared" si="25"/>
        <v>-0.37128319287645095</v>
      </c>
      <c r="O215" s="1">
        <f t="shared" si="26"/>
        <v>-4.1978056924789287E-2</v>
      </c>
      <c r="P215">
        <f t="shared" si="27"/>
        <v>160</v>
      </c>
      <c r="Q215">
        <f t="shared" si="28"/>
        <v>210</v>
      </c>
      <c r="R215">
        <f t="shared" si="29"/>
        <v>275</v>
      </c>
      <c r="S215">
        <f t="shared" si="30"/>
        <v>645</v>
      </c>
      <c r="T215">
        <f t="shared" si="31"/>
        <v>214</v>
      </c>
      <c r="U215" s="1" cm="1">
        <f t="array" ref="U215">MIN(ABS(M215:O215))</f>
        <v>4.1978056924789287E-2</v>
      </c>
    </row>
    <row r="216" spans="1:21" x14ac:dyDescent="0.35">
      <c r="A216" t="s">
        <v>229</v>
      </c>
      <c r="B216" s="2">
        <v>234.35</v>
      </c>
      <c r="C216" s="2">
        <v>128.13999999999999</v>
      </c>
      <c r="D216" s="2">
        <v>146.47</v>
      </c>
      <c r="E216" s="2">
        <v>233.24</v>
      </c>
      <c r="F216" s="2">
        <v>6</v>
      </c>
      <c r="G216">
        <v>0</v>
      </c>
      <c r="H216">
        <v>1</v>
      </c>
      <c r="I216">
        <v>5</v>
      </c>
      <c r="J216">
        <v>1</v>
      </c>
      <c r="K216">
        <v>3</v>
      </c>
      <c r="L216">
        <v>5</v>
      </c>
      <c r="M216" s="1">
        <f t="shared" si="24"/>
        <v>-0.45321100917431201</v>
      </c>
      <c r="N216" s="1">
        <f t="shared" si="25"/>
        <v>-0.37499466609771703</v>
      </c>
      <c r="O216" s="1">
        <f t="shared" si="26"/>
        <v>-4.7365052272241304E-3</v>
      </c>
      <c r="P216">
        <f t="shared" si="27"/>
        <v>176</v>
      </c>
      <c r="Q216">
        <f t="shared" si="28"/>
        <v>211</v>
      </c>
      <c r="R216">
        <f t="shared" si="29"/>
        <v>260</v>
      </c>
      <c r="S216">
        <f t="shared" si="30"/>
        <v>647</v>
      </c>
      <c r="T216">
        <f t="shared" si="31"/>
        <v>215</v>
      </c>
      <c r="U216" s="1" cm="1">
        <f t="array" ref="U216">MIN(ABS(M216:O216))</f>
        <v>4.7365052272241304E-3</v>
      </c>
    </row>
    <row r="217" spans="1:21" x14ac:dyDescent="0.35">
      <c r="A217" t="s">
        <v>236</v>
      </c>
      <c r="B217" s="2">
        <v>105.25</v>
      </c>
      <c r="C217" s="2">
        <v>51.43</v>
      </c>
      <c r="D217" s="2">
        <v>64.010000000000005</v>
      </c>
      <c r="E217" s="2">
        <v>125.63</v>
      </c>
      <c r="F217" s="2">
        <v>12.07</v>
      </c>
      <c r="G217">
        <v>0</v>
      </c>
      <c r="H217">
        <v>2</v>
      </c>
      <c r="I217">
        <v>5</v>
      </c>
      <c r="J217">
        <v>0</v>
      </c>
      <c r="K217">
        <v>1</v>
      </c>
      <c r="L217">
        <v>2</v>
      </c>
      <c r="M217" s="1">
        <f t="shared" si="24"/>
        <v>-0.51135391923990503</v>
      </c>
      <c r="N217" s="1">
        <f t="shared" si="25"/>
        <v>-0.39182897862232779</v>
      </c>
      <c r="O217" s="1">
        <f t="shared" si="26"/>
        <v>0.19363420427553435</v>
      </c>
      <c r="P217">
        <f t="shared" si="27"/>
        <v>206</v>
      </c>
      <c r="Q217">
        <f t="shared" si="28"/>
        <v>218</v>
      </c>
      <c r="R217">
        <f t="shared" si="29"/>
        <v>226</v>
      </c>
      <c r="S217">
        <f t="shared" si="30"/>
        <v>650</v>
      </c>
      <c r="T217">
        <f t="shared" si="31"/>
        <v>216</v>
      </c>
      <c r="U217" s="1" cm="1">
        <f t="array" ref="U217">MIN(ABS(M217:O217))</f>
        <v>0.19363420427553435</v>
      </c>
    </row>
    <row r="218" spans="1:21" x14ac:dyDescent="0.35">
      <c r="A218" t="s">
        <v>222</v>
      </c>
      <c r="B218" s="2">
        <v>2.77</v>
      </c>
      <c r="C218" s="2">
        <v>1.68</v>
      </c>
      <c r="D218" s="2">
        <v>1.76</v>
      </c>
      <c r="E218" s="2">
        <v>2.44</v>
      </c>
      <c r="F218" s="2">
        <v>10.71</v>
      </c>
      <c r="G218">
        <v>-1</v>
      </c>
      <c r="H218">
        <v>1</v>
      </c>
      <c r="I218">
        <v>5</v>
      </c>
      <c r="J218">
        <v>0</v>
      </c>
      <c r="K218">
        <v>1</v>
      </c>
      <c r="L218">
        <v>2</v>
      </c>
      <c r="M218" s="1">
        <f t="shared" si="24"/>
        <v>-0.39350180505415167</v>
      </c>
      <c r="N218" s="1">
        <f t="shared" si="25"/>
        <v>-0.36462093862815881</v>
      </c>
      <c r="O218" s="1">
        <f t="shared" si="26"/>
        <v>-0.11913357400722024</v>
      </c>
      <c r="P218">
        <f t="shared" si="27"/>
        <v>148</v>
      </c>
      <c r="Q218">
        <f t="shared" si="28"/>
        <v>204</v>
      </c>
      <c r="R218">
        <f t="shared" si="29"/>
        <v>299</v>
      </c>
      <c r="S218">
        <f t="shared" si="30"/>
        <v>651</v>
      </c>
      <c r="T218">
        <f t="shared" si="31"/>
        <v>217</v>
      </c>
      <c r="U218" s="1" cm="1">
        <f t="array" ref="U218">MIN(ABS(M218:O218))</f>
        <v>0.11913357400722024</v>
      </c>
    </row>
    <row r="219" spans="1:21" x14ac:dyDescent="0.35">
      <c r="A219" t="s">
        <v>243</v>
      </c>
      <c r="B219" s="2">
        <v>30.64</v>
      </c>
      <c r="C219" s="2">
        <v>10.56</v>
      </c>
      <c r="D219" s="2">
        <v>17.79</v>
      </c>
      <c r="E219" s="2">
        <v>59.56</v>
      </c>
      <c r="F219" s="2">
        <v>12.73</v>
      </c>
      <c r="G219">
        <v>2</v>
      </c>
      <c r="H219">
        <v>7</v>
      </c>
      <c r="I219">
        <v>13</v>
      </c>
      <c r="J219">
        <v>0</v>
      </c>
      <c r="K219">
        <v>0</v>
      </c>
      <c r="L219">
        <v>2</v>
      </c>
      <c r="M219" s="1">
        <f t="shared" si="24"/>
        <v>-0.65535248041775462</v>
      </c>
      <c r="N219" s="1">
        <f t="shared" si="25"/>
        <v>-0.41938642297650131</v>
      </c>
      <c r="O219" s="1">
        <f t="shared" si="26"/>
        <v>0.94386422976501305</v>
      </c>
      <c r="P219">
        <f t="shared" si="27"/>
        <v>295</v>
      </c>
      <c r="Q219">
        <f t="shared" si="28"/>
        <v>225</v>
      </c>
      <c r="R219">
        <f t="shared" si="29"/>
        <v>134</v>
      </c>
      <c r="S219">
        <f t="shared" si="30"/>
        <v>654</v>
      </c>
      <c r="T219">
        <f t="shared" si="31"/>
        <v>218</v>
      </c>
      <c r="U219" s="1" cm="1">
        <f t="array" ref="U219">MIN(ABS(M219:O219))</f>
        <v>0.41938642297650131</v>
      </c>
    </row>
    <row r="220" spans="1:21" x14ac:dyDescent="0.35">
      <c r="A220" t="s">
        <v>224</v>
      </c>
      <c r="B220" s="2">
        <v>454.32</v>
      </c>
      <c r="C220" s="2">
        <v>223.85</v>
      </c>
      <c r="D220" s="2">
        <v>287.33999999999997</v>
      </c>
      <c r="E220" s="2">
        <v>470.61</v>
      </c>
      <c r="F220" s="2">
        <v>8.34</v>
      </c>
      <c r="G220">
        <v>1</v>
      </c>
      <c r="H220">
        <v>2</v>
      </c>
      <c r="I220">
        <v>5</v>
      </c>
      <c r="J220">
        <v>0</v>
      </c>
      <c r="K220">
        <v>2</v>
      </c>
      <c r="L220">
        <v>3</v>
      </c>
      <c r="M220" s="1">
        <f t="shared" si="24"/>
        <v>-0.50728561366437752</v>
      </c>
      <c r="N220" s="1">
        <f t="shared" si="25"/>
        <v>-0.36753829899630219</v>
      </c>
      <c r="O220" s="1">
        <f t="shared" si="26"/>
        <v>3.5855784469096763E-2</v>
      </c>
      <c r="P220">
        <f t="shared" si="27"/>
        <v>204</v>
      </c>
      <c r="Q220">
        <f t="shared" si="28"/>
        <v>206</v>
      </c>
      <c r="R220">
        <f t="shared" si="29"/>
        <v>251</v>
      </c>
      <c r="S220">
        <f t="shared" si="30"/>
        <v>661</v>
      </c>
      <c r="T220">
        <f t="shared" si="31"/>
        <v>219</v>
      </c>
      <c r="U220" s="1" cm="1">
        <f t="array" ref="U220">MIN(ABS(M220:O220))</f>
        <v>3.5855784469096763E-2</v>
      </c>
    </row>
    <row r="221" spans="1:21" x14ac:dyDescent="0.35">
      <c r="A221" t="s">
        <v>230</v>
      </c>
      <c r="B221" s="2">
        <v>132.13999999999999</v>
      </c>
      <c r="C221" s="2">
        <v>64.069999999999993</v>
      </c>
      <c r="D221" s="2">
        <v>81.84</v>
      </c>
      <c r="E221" s="2">
        <v>140.16</v>
      </c>
      <c r="F221" s="2">
        <v>11.78</v>
      </c>
      <c r="G221">
        <v>1</v>
      </c>
      <c r="H221">
        <v>3</v>
      </c>
      <c r="I221">
        <v>6</v>
      </c>
      <c r="J221">
        <v>0</v>
      </c>
      <c r="K221">
        <v>0</v>
      </c>
      <c r="L221">
        <v>2</v>
      </c>
      <c r="M221" s="1">
        <f t="shared" si="24"/>
        <v>-0.51513546238837593</v>
      </c>
      <c r="N221" s="1">
        <f t="shared" si="25"/>
        <v>-0.38065687906765544</v>
      </c>
      <c r="O221" s="1">
        <f t="shared" si="26"/>
        <v>6.0693204177387772E-2</v>
      </c>
      <c r="P221">
        <f t="shared" si="27"/>
        <v>209</v>
      </c>
      <c r="Q221">
        <f t="shared" si="28"/>
        <v>212</v>
      </c>
      <c r="R221">
        <f t="shared" si="29"/>
        <v>246</v>
      </c>
      <c r="S221">
        <f t="shared" si="30"/>
        <v>667</v>
      </c>
      <c r="T221">
        <f t="shared" si="31"/>
        <v>220</v>
      </c>
      <c r="U221" s="1" cm="1">
        <f t="array" ref="U221">MIN(ABS(M221:O221))</f>
        <v>6.0693204177387772E-2</v>
      </c>
    </row>
    <row r="222" spans="1:21" x14ac:dyDescent="0.35">
      <c r="A222" t="s">
        <v>248</v>
      </c>
      <c r="B222" s="2">
        <v>750.61</v>
      </c>
      <c r="C222" s="2">
        <v>197.69</v>
      </c>
      <c r="D222" s="2">
        <v>430.41</v>
      </c>
      <c r="E222" s="2">
        <v>2066.33</v>
      </c>
      <c r="F222" s="2">
        <v>9.3699999999999992</v>
      </c>
      <c r="G222">
        <v>2</v>
      </c>
      <c r="H222">
        <v>10</v>
      </c>
      <c r="I222">
        <v>18</v>
      </c>
      <c r="J222">
        <v>0</v>
      </c>
      <c r="K222">
        <v>1</v>
      </c>
      <c r="L222">
        <v>2</v>
      </c>
      <c r="M222" s="1">
        <f t="shared" si="24"/>
        <v>-0.73662754293174881</v>
      </c>
      <c r="N222" s="1">
        <f t="shared" si="25"/>
        <v>-0.42658637641385</v>
      </c>
      <c r="O222" s="1">
        <f t="shared" si="26"/>
        <v>1.7528676676303272</v>
      </c>
      <c r="P222">
        <f t="shared" si="27"/>
        <v>360</v>
      </c>
      <c r="Q222">
        <f t="shared" si="28"/>
        <v>230</v>
      </c>
      <c r="R222">
        <f t="shared" si="29"/>
        <v>79</v>
      </c>
      <c r="S222">
        <f t="shared" si="30"/>
        <v>669</v>
      </c>
      <c r="T222">
        <f t="shared" si="31"/>
        <v>221</v>
      </c>
      <c r="U222" s="1" cm="1">
        <f t="array" ref="U222">MIN(ABS(M222:O222))</f>
        <v>0.42658637641385</v>
      </c>
    </row>
    <row r="223" spans="1:21" x14ac:dyDescent="0.35">
      <c r="A223" t="s">
        <v>237</v>
      </c>
      <c r="B223" s="2">
        <v>62.27</v>
      </c>
      <c r="C223" s="2">
        <v>34.6</v>
      </c>
      <c r="D223" s="2">
        <v>37.630000000000003</v>
      </c>
      <c r="E223" s="2">
        <v>58.08</v>
      </c>
      <c r="F223" s="2">
        <v>11.84</v>
      </c>
      <c r="G223">
        <v>0</v>
      </c>
      <c r="H223">
        <v>1</v>
      </c>
      <c r="I223">
        <v>5</v>
      </c>
      <c r="J223">
        <v>0</v>
      </c>
      <c r="K223">
        <v>0</v>
      </c>
      <c r="L223">
        <v>2</v>
      </c>
      <c r="M223" s="1">
        <f t="shared" si="24"/>
        <v>-0.44435522723622933</v>
      </c>
      <c r="N223" s="1">
        <f t="shared" si="25"/>
        <v>-0.39569616187570256</v>
      </c>
      <c r="O223" s="1">
        <f t="shared" si="26"/>
        <v>-6.7287618435843966E-2</v>
      </c>
      <c r="P223">
        <f t="shared" si="27"/>
        <v>173</v>
      </c>
      <c r="Q223">
        <f t="shared" si="28"/>
        <v>219</v>
      </c>
      <c r="R223">
        <f t="shared" si="29"/>
        <v>278</v>
      </c>
      <c r="S223">
        <f t="shared" si="30"/>
        <v>670</v>
      </c>
      <c r="T223">
        <f t="shared" si="31"/>
        <v>222</v>
      </c>
      <c r="U223" s="1" cm="1">
        <f t="array" ref="U223">MIN(ABS(M223:O223))</f>
        <v>6.7287618435843966E-2</v>
      </c>
    </row>
    <row r="224" spans="1:21" x14ac:dyDescent="0.35">
      <c r="A224" t="s">
        <v>246</v>
      </c>
      <c r="B224" s="2">
        <v>172.06</v>
      </c>
      <c r="C224" s="2">
        <v>53.18</v>
      </c>
      <c r="D224" s="2">
        <v>99.2</v>
      </c>
      <c r="E224" s="2">
        <v>364.79</v>
      </c>
      <c r="F224" s="2">
        <v>11.31</v>
      </c>
      <c r="G224">
        <v>2</v>
      </c>
      <c r="H224">
        <v>8</v>
      </c>
      <c r="I224">
        <v>15</v>
      </c>
      <c r="J224">
        <v>0</v>
      </c>
      <c r="K224">
        <v>0</v>
      </c>
      <c r="L224">
        <v>2</v>
      </c>
      <c r="M224" s="1">
        <f t="shared" si="24"/>
        <v>-0.69092177147506684</v>
      </c>
      <c r="N224" s="1">
        <f t="shared" si="25"/>
        <v>-0.42345693362780423</v>
      </c>
      <c r="O224" s="1">
        <f t="shared" si="26"/>
        <v>1.1201325119144485</v>
      </c>
      <c r="P224">
        <f t="shared" si="27"/>
        <v>328</v>
      </c>
      <c r="Q224">
        <f t="shared" si="28"/>
        <v>228</v>
      </c>
      <c r="R224">
        <f t="shared" si="29"/>
        <v>115</v>
      </c>
      <c r="S224">
        <f t="shared" si="30"/>
        <v>671</v>
      </c>
      <c r="T224">
        <f t="shared" si="31"/>
        <v>223</v>
      </c>
      <c r="U224" s="1" cm="1">
        <f t="array" ref="U224">MIN(ABS(M224:O224))</f>
        <v>0.42345693362780423</v>
      </c>
    </row>
    <row r="225" spans="1:21" x14ac:dyDescent="0.35">
      <c r="A225" t="s">
        <v>253</v>
      </c>
      <c r="B225" s="2">
        <v>118.51</v>
      </c>
      <c r="C225" s="2">
        <v>32.520000000000003</v>
      </c>
      <c r="D225" s="2">
        <v>66.23</v>
      </c>
      <c r="E225" s="2">
        <v>303.74</v>
      </c>
      <c r="F225" s="2">
        <v>10.29</v>
      </c>
      <c r="G225">
        <v>2</v>
      </c>
      <c r="H225">
        <v>10</v>
      </c>
      <c r="I225">
        <v>18</v>
      </c>
      <c r="J225">
        <v>0</v>
      </c>
      <c r="K225">
        <v>0</v>
      </c>
      <c r="L225">
        <v>2</v>
      </c>
      <c r="M225" s="1">
        <f t="shared" si="24"/>
        <v>-0.72559277698084546</v>
      </c>
      <c r="N225" s="1">
        <f t="shared" si="25"/>
        <v>-0.44114420723989534</v>
      </c>
      <c r="O225" s="1">
        <f t="shared" si="26"/>
        <v>1.5629904649396673</v>
      </c>
      <c r="P225">
        <f t="shared" si="27"/>
        <v>355</v>
      </c>
      <c r="Q225">
        <f t="shared" si="28"/>
        <v>235</v>
      </c>
      <c r="R225">
        <f t="shared" si="29"/>
        <v>88</v>
      </c>
      <c r="S225">
        <f t="shared" si="30"/>
        <v>678</v>
      </c>
      <c r="T225">
        <f t="shared" si="31"/>
        <v>224</v>
      </c>
      <c r="U225" s="1" cm="1">
        <f t="array" ref="U225">MIN(ABS(M225:O225))</f>
        <v>0.44114420723989534</v>
      </c>
    </row>
    <row r="226" spans="1:21" x14ac:dyDescent="0.35">
      <c r="A226" t="s">
        <v>238</v>
      </c>
      <c r="B226" s="2">
        <v>32.47</v>
      </c>
      <c r="C226" s="2">
        <v>18.329999999999998</v>
      </c>
      <c r="D226" s="2">
        <v>19.579999999999998</v>
      </c>
      <c r="E226" s="2">
        <v>29.29</v>
      </c>
      <c r="F226" s="2">
        <v>11.26</v>
      </c>
      <c r="G226">
        <v>0</v>
      </c>
      <c r="H226">
        <v>1</v>
      </c>
      <c r="I226">
        <v>5</v>
      </c>
      <c r="J226">
        <v>0</v>
      </c>
      <c r="K226">
        <v>0</v>
      </c>
      <c r="L226">
        <v>2</v>
      </c>
      <c r="M226" s="1">
        <f t="shared" si="24"/>
        <v>-0.4354789036033262</v>
      </c>
      <c r="N226" s="1">
        <f t="shared" si="25"/>
        <v>-0.39698182938096704</v>
      </c>
      <c r="O226" s="1">
        <f t="shared" si="26"/>
        <v>-9.7936556821681564E-2</v>
      </c>
      <c r="P226">
        <f t="shared" si="27"/>
        <v>169</v>
      </c>
      <c r="Q226">
        <f t="shared" si="28"/>
        <v>220</v>
      </c>
      <c r="R226">
        <f t="shared" si="29"/>
        <v>290</v>
      </c>
      <c r="S226">
        <f t="shared" si="30"/>
        <v>679</v>
      </c>
      <c r="T226">
        <f t="shared" si="31"/>
        <v>225</v>
      </c>
      <c r="U226" s="1" cm="1">
        <f t="array" ref="U226">MIN(ABS(M226:O226))</f>
        <v>9.7936556821681564E-2</v>
      </c>
    </row>
    <row r="227" spans="1:21" x14ac:dyDescent="0.35">
      <c r="A227" t="s">
        <v>232</v>
      </c>
      <c r="B227" s="2">
        <v>31.11</v>
      </c>
      <c r="C227" s="2">
        <v>17.850000000000001</v>
      </c>
      <c r="D227" s="2">
        <v>19.079999999999998</v>
      </c>
      <c r="E227" s="2">
        <v>26.89</v>
      </c>
      <c r="F227" s="2">
        <v>14.43</v>
      </c>
      <c r="G227">
        <v>1</v>
      </c>
      <c r="H227">
        <v>3</v>
      </c>
      <c r="I227">
        <v>5</v>
      </c>
      <c r="J227">
        <v>0</v>
      </c>
      <c r="K227">
        <v>0</v>
      </c>
      <c r="L227">
        <v>2</v>
      </c>
      <c r="M227" s="1">
        <f t="shared" si="24"/>
        <v>-0.42622950819672123</v>
      </c>
      <c r="N227" s="1">
        <f t="shared" si="25"/>
        <v>-0.38669238187078114</v>
      </c>
      <c r="O227" s="1">
        <f t="shared" si="26"/>
        <v>-0.13564770170363227</v>
      </c>
      <c r="P227">
        <f t="shared" si="27"/>
        <v>166</v>
      </c>
      <c r="Q227">
        <f t="shared" si="28"/>
        <v>214</v>
      </c>
      <c r="R227">
        <f t="shared" si="29"/>
        <v>302</v>
      </c>
      <c r="S227">
        <f t="shared" si="30"/>
        <v>682</v>
      </c>
      <c r="T227">
        <f t="shared" si="31"/>
        <v>226</v>
      </c>
      <c r="U227" s="1" cm="1">
        <f t="array" ref="U227">MIN(ABS(M227:O227))</f>
        <v>0.13564770170363227</v>
      </c>
    </row>
    <row r="228" spans="1:21" x14ac:dyDescent="0.35">
      <c r="A228" t="s">
        <v>241</v>
      </c>
      <c r="B228" s="2">
        <v>719.16</v>
      </c>
      <c r="C228" s="2">
        <v>180.95</v>
      </c>
      <c r="D228" s="2">
        <v>423.75</v>
      </c>
      <c r="E228" s="2">
        <v>1847.85</v>
      </c>
      <c r="F228" s="2">
        <v>6.17</v>
      </c>
      <c r="G228">
        <v>2</v>
      </c>
      <c r="H228">
        <v>8</v>
      </c>
      <c r="I228">
        <v>15</v>
      </c>
      <c r="J228">
        <v>1</v>
      </c>
      <c r="K228">
        <v>5</v>
      </c>
      <c r="L228">
        <v>9</v>
      </c>
      <c r="M228" s="1">
        <f t="shared" si="24"/>
        <v>-0.74838700706379668</v>
      </c>
      <c r="N228" s="1">
        <f t="shared" si="25"/>
        <v>-0.41077089938261302</v>
      </c>
      <c r="O228" s="1">
        <f t="shared" si="26"/>
        <v>1.5694560320373769</v>
      </c>
      <c r="P228">
        <f t="shared" si="27"/>
        <v>374</v>
      </c>
      <c r="Q228">
        <f t="shared" si="28"/>
        <v>223</v>
      </c>
      <c r="R228">
        <f t="shared" si="29"/>
        <v>87</v>
      </c>
      <c r="S228">
        <f t="shared" si="30"/>
        <v>684</v>
      </c>
      <c r="T228">
        <f t="shared" si="31"/>
        <v>227</v>
      </c>
      <c r="U228" s="1" cm="1">
        <f t="array" ref="U228">MIN(ABS(M228:O228))</f>
        <v>0.41077089938261302</v>
      </c>
    </row>
    <row r="229" spans="1:21" x14ac:dyDescent="0.35">
      <c r="A229" t="s">
        <v>254</v>
      </c>
      <c r="B229" s="2">
        <v>81.290000000000006</v>
      </c>
      <c r="C229" s="2">
        <v>38.090000000000003</v>
      </c>
      <c r="D229" s="2">
        <v>45.3</v>
      </c>
      <c r="E229" s="2">
        <v>90.56</v>
      </c>
      <c r="F229" s="2">
        <v>12.25</v>
      </c>
      <c r="G229">
        <v>0</v>
      </c>
      <c r="H229">
        <v>1</v>
      </c>
      <c r="I229">
        <v>5</v>
      </c>
      <c r="J229">
        <v>0</v>
      </c>
      <c r="K229">
        <v>0</v>
      </c>
      <c r="L229">
        <v>2</v>
      </c>
      <c r="M229" s="1">
        <f t="shared" si="24"/>
        <v>-0.53143068028047735</v>
      </c>
      <c r="N229" s="1">
        <f t="shared" si="25"/>
        <v>-0.44273588387255514</v>
      </c>
      <c r="O229" s="1">
        <f t="shared" si="26"/>
        <v>0.11403616681018569</v>
      </c>
      <c r="P229">
        <f t="shared" si="27"/>
        <v>216</v>
      </c>
      <c r="Q229">
        <f t="shared" si="28"/>
        <v>236</v>
      </c>
      <c r="R229">
        <f t="shared" si="29"/>
        <v>237</v>
      </c>
      <c r="S229">
        <f t="shared" si="30"/>
        <v>689</v>
      </c>
      <c r="T229">
        <f t="shared" si="31"/>
        <v>228</v>
      </c>
      <c r="U229" s="1" cm="1">
        <f t="array" ref="U229">MIN(ABS(M229:O229))</f>
        <v>0.11403616681018569</v>
      </c>
    </row>
    <row r="230" spans="1:21" x14ac:dyDescent="0.35">
      <c r="A230" t="s">
        <v>244</v>
      </c>
      <c r="B230" s="2">
        <v>127.99</v>
      </c>
      <c r="C230" s="2">
        <v>70.42</v>
      </c>
      <c r="D230" s="2">
        <v>74.260000000000005</v>
      </c>
      <c r="E230" s="2">
        <v>114.71</v>
      </c>
      <c r="F230" s="2">
        <v>10.32</v>
      </c>
      <c r="G230">
        <v>-1</v>
      </c>
      <c r="H230">
        <v>1</v>
      </c>
      <c r="I230">
        <v>5</v>
      </c>
      <c r="J230">
        <v>0</v>
      </c>
      <c r="K230">
        <v>1</v>
      </c>
      <c r="L230">
        <v>2</v>
      </c>
      <c r="M230" s="1">
        <f t="shared" si="24"/>
        <v>-0.44980076568481908</v>
      </c>
      <c r="N230" s="1">
        <f t="shared" si="25"/>
        <v>-0.41979842175169924</v>
      </c>
      <c r="O230" s="1">
        <f t="shared" si="26"/>
        <v>-0.10375810610203928</v>
      </c>
      <c r="P230">
        <f t="shared" si="27"/>
        <v>175</v>
      </c>
      <c r="Q230">
        <f t="shared" si="28"/>
        <v>226</v>
      </c>
      <c r="R230">
        <f t="shared" si="29"/>
        <v>294</v>
      </c>
      <c r="S230">
        <f t="shared" si="30"/>
        <v>695</v>
      </c>
      <c r="T230">
        <f t="shared" si="31"/>
        <v>229</v>
      </c>
      <c r="U230" s="1" cm="1">
        <f t="array" ref="U230">MIN(ABS(M230:O230))</f>
        <v>0.10375810610203928</v>
      </c>
    </row>
    <row r="231" spans="1:21" x14ac:dyDescent="0.35">
      <c r="A231" t="s">
        <v>249</v>
      </c>
      <c r="B231" s="2">
        <v>54.5</v>
      </c>
      <c r="C231" s="2">
        <v>24.03</v>
      </c>
      <c r="D231" s="2">
        <v>31.1</v>
      </c>
      <c r="E231" s="2">
        <v>57.24</v>
      </c>
      <c r="F231" s="2">
        <v>11.69</v>
      </c>
      <c r="G231">
        <v>1</v>
      </c>
      <c r="H231">
        <v>4</v>
      </c>
      <c r="I231">
        <v>7</v>
      </c>
      <c r="J231">
        <v>0</v>
      </c>
      <c r="K231">
        <v>1</v>
      </c>
      <c r="L231">
        <v>2</v>
      </c>
      <c r="M231" s="1">
        <f t="shared" si="24"/>
        <v>-0.55908256880733942</v>
      </c>
      <c r="N231" s="1">
        <f t="shared" si="25"/>
        <v>-0.42935779816513764</v>
      </c>
      <c r="O231" s="1">
        <f t="shared" si="26"/>
        <v>5.0275229357798157E-2</v>
      </c>
      <c r="P231">
        <f t="shared" si="27"/>
        <v>227</v>
      </c>
      <c r="Q231">
        <f t="shared" si="28"/>
        <v>231</v>
      </c>
      <c r="R231">
        <f t="shared" si="29"/>
        <v>248</v>
      </c>
      <c r="S231">
        <f t="shared" si="30"/>
        <v>706</v>
      </c>
      <c r="T231">
        <f t="shared" si="31"/>
        <v>230</v>
      </c>
      <c r="U231" s="1" cm="1">
        <f t="array" ref="U231">MIN(ABS(M231:O231))</f>
        <v>5.0275229357798157E-2</v>
      </c>
    </row>
    <row r="232" spans="1:21" x14ac:dyDescent="0.35">
      <c r="A232" t="s">
        <v>245</v>
      </c>
      <c r="B232" s="2">
        <v>249.24</v>
      </c>
      <c r="C232" s="2">
        <v>131.16</v>
      </c>
      <c r="D232" s="2">
        <v>144.44999999999999</v>
      </c>
      <c r="E232" s="2">
        <v>224.13</v>
      </c>
      <c r="F232" s="2">
        <v>10.44</v>
      </c>
      <c r="G232">
        <v>0</v>
      </c>
      <c r="H232">
        <v>1</v>
      </c>
      <c r="I232">
        <v>5</v>
      </c>
      <c r="J232">
        <v>0</v>
      </c>
      <c r="K232">
        <v>1</v>
      </c>
      <c r="L232">
        <v>2</v>
      </c>
      <c r="M232" s="1">
        <f t="shared" si="24"/>
        <v>-0.47376023110255183</v>
      </c>
      <c r="N232" s="1">
        <f t="shared" si="25"/>
        <v>-0.42043813192104007</v>
      </c>
      <c r="O232" s="1">
        <f t="shared" si="26"/>
        <v>-0.10074626865671643</v>
      </c>
      <c r="P232">
        <f t="shared" si="27"/>
        <v>187</v>
      </c>
      <c r="Q232">
        <f t="shared" si="28"/>
        <v>227</v>
      </c>
      <c r="R232">
        <f t="shared" si="29"/>
        <v>293</v>
      </c>
      <c r="S232">
        <f t="shared" si="30"/>
        <v>707</v>
      </c>
      <c r="T232">
        <f t="shared" si="31"/>
        <v>231</v>
      </c>
      <c r="U232" s="1" cm="1">
        <f t="array" ref="U232">MIN(ABS(M232:O232))</f>
        <v>0.10074626865671643</v>
      </c>
    </row>
    <row r="233" spans="1:21" x14ac:dyDescent="0.35">
      <c r="A233" t="s">
        <v>277</v>
      </c>
      <c r="B233" s="2">
        <v>18.39</v>
      </c>
      <c r="C233" s="2">
        <v>3.25</v>
      </c>
      <c r="D233" s="2">
        <v>9.58</v>
      </c>
      <c r="E233" s="2">
        <v>112.8</v>
      </c>
      <c r="F233" s="2">
        <v>9.32</v>
      </c>
      <c r="G233">
        <v>2</v>
      </c>
      <c r="H233">
        <v>10</v>
      </c>
      <c r="I233">
        <v>18</v>
      </c>
      <c r="J233">
        <v>1</v>
      </c>
      <c r="K233">
        <v>5</v>
      </c>
      <c r="L233">
        <v>9</v>
      </c>
      <c r="M233" s="1">
        <f t="shared" si="24"/>
        <v>-0.82327351821642192</v>
      </c>
      <c r="N233" s="1">
        <f t="shared" si="25"/>
        <v>-0.47906470908102228</v>
      </c>
      <c r="O233" s="1">
        <f t="shared" si="26"/>
        <v>5.1337683523654158</v>
      </c>
      <c r="P233">
        <f t="shared" si="27"/>
        <v>431</v>
      </c>
      <c r="Q233">
        <f t="shared" si="28"/>
        <v>260</v>
      </c>
      <c r="R233">
        <f t="shared" si="29"/>
        <v>24</v>
      </c>
      <c r="S233">
        <f t="shared" si="30"/>
        <v>715</v>
      </c>
      <c r="T233">
        <f t="shared" si="31"/>
        <v>232</v>
      </c>
      <c r="U233" s="1" cm="1">
        <f t="array" ref="U233">MIN(ABS(M233:O233))</f>
        <v>0.47906470908102228</v>
      </c>
    </row>
    <row r="234" spans="1:21" x14ac:dyDescent="0.35">
      <c r="A234" t="s">
        <v>234</v>
      </c>
      <c r="B234" s="2">
        <v>62.96</v>
      </c>
      <c r="C234" s="2">
        <v>38.32</v>
      </c>
      <c r="D234" s="2">
        <v>38.549999999999997</v>
      </c>
      <c r="E234" s="2">
        <v>43.72</v>
      </c>
      <c r="F234" s="2">
        <v>13.37</v>
      </c>
      <c r="G234">
        <v>-3</v>
      </c>
      <c r="H234">
        <v>1</v>
      </c>
      <c r="I234">
        <v>5</v>
      </c>
      <c r="J234">
        <v>0</v>
      </c>
      <c r="K234">
        <v>0</v>
      </c>
      <c r="L234">
        <v>2</v>
      </c>
      <c r="M234" s="1">
        <f t="shared" si="24"/>
        <v>-0.39135959339263027</v>
      </c>
      <c r="N234" s="1">
        <f t="shared" si="25"/>
        <v>-0.38770648030495558</v>
      </c>
      <c r="O234" s="1">
        <f t="shared" si="26"/>
        <v>-0.30559085133418051</v>
      </c>
      <c r="P234">
        <f t="shared" si="27"/>
        <v>147</v>
      </c>
      <c r="Q234">
        <f t="shared" si="28"/>
        <v>216</v>
      </c>
      <c r="R234">
        <f t="shared" si="29"/>
        <v>354</v>
      </c>
      <c r="S234">
        <f t="shared" si="30"/>
        <v>717</v>
      </c>
      <c r="T234">
        <f t="shared" si="31"/>
        <v>233</v>
      </c>
      <c r="U234" s="1" cm="1">
        <f t="array" ref="U234">MIN(ABS(M234:O234))</f>
        <v>0.30559085133418051</v>
      </c>
    </row>
    <row r="235" spans="1:21" x14ac:dyDescent="0.35">
      <c r="A235" t="s">
        <v>256</v>
      </c>
      <c r="B235" s="2">
        <v>29.16</v>
      </c>
      <c r="C235" s="2">
        <v>14.78</v>
      </c>
      <c r="D235" s="2">
        <v>16.18</v>
      </c>
      <c r="E235" s="2">
        <v>26.51</v>
      </c>
      <c r="F235" s="2">
        <v>12.13</v>
      </c>
      <c r="G235">
        <v>0</v>
      </c>
      <c r="H235">
        <v>1</v>
      </c>
      <c r="I235">
        <v>5</v>
      </c>
      <c r="J235">
        <v>0</v>
      </c>
      <c r="K235">
        <v>0</v>
      </c>
      <c r="L235">
        <v>2</v>
      </c>
      <c r="M235" s="1">
        <f t="shared" si="24"/>
        <v>-0.49314128943758573</v>
      </c>
      <c r="N235" s="1">
        <f t="shared" si="25"/>
        <v>-0.44513031550068594</v>
      </c>
      <c r="O235" s="1">
        <f t="shared" si="26"/>
        <v>-9.0877914951988936E-2</v>
      </c>
      <c r="P235">
        <f t="shared" si="27"/>
        <v>197</v>
      </c>
      <c r="Q235">
        <f t="shared" si="28"/>
        <v>238</v>
      </c>
      <c r="R235">
        <f t="shared" si="29"/>
        <v>287</v>
      </c>
      <c r="S235">
        <f t="shared" si="30"/>
        <v>722</v>
      </c>
      <c r="T235">
        <f t="shared" si="31"/>
        <v>234</v>
      </c>
      <c r="U235" s="1" cm="1">
        <f t="array" ref="U235">MIN(ABS(M235:O235))</f>
        <v>9.0877914951988936E-2</v>
      </c>
    </row>
    <row r="236" spans="1:21" x14ac:dyDescent="0.35">
      <c r="A236" t="s">
        <v>247</v>
      </c>
      <c r="B236" s="2">
        <v>91.29</v>
      </c>
      <c r="C236" s="2">
        <v>48.97</v>
      </c>
      <c r="D236" s="2">
        <v>52.55</v>
      </c>
      <c r="E236" s="2">
        <v>74.14</v>
      </c>
      <c r="F236" s="2">
        <v>10.59</v>
      </c>
      <c r="G236">
        <v>0</v>
      </c>
      <c r="H236">
        <v>1</v>
      </c>
      <c r="I236">
        <v>5</v>
      </c>
      <c r="J236">
        <v>0</v>
      </c>
      <c r="K236">
        <v>1</v>
      </c>
      <c r="L236">
        <v>2</v>
      </c>
      <c r="M236" s="1">
        <f t="shared" si="24"/>
        <v>-0.46357760981487572</v>
      </c>
      <c r="N236" s="1">
        <f t="shared" si="25"/>
        <v>-0.42436192354036595</v>
      </c>
      <c r="O236" s="1">
        <f t="shared" si="26"/>
        <v>-0.18786285463906238</v>
      </c>
      <c r="P236">
        <f t="shared" si="27"/>
        <v>180</v>
      </c>
      <c r="Q236">
        <f t="shared" si="28"/>
        <v>229</v>
      </c>
      <c r="R236">
        <f t="shared" si="29"/>
        <v>314</v>
      </c>
      <c r="S236">
        <f t="shared" si="30"/>
        <v>723</v>
      </c>
      <c r="T236">
        <f t="shared" si="31"/>
        <v>235</v>
      </c>
      <c r="U236" s="1" cm="1">
        <f t="array" ref="U236">MIN(ABS(M236:O236))</f>
        <v>0.18786285463906238</v>
      </c>
    </row>
    <row r="237" spans="1:21" x14ac:dyDescent="0.35">
      <c r="A237" t="s">
        <v>264</v>
      </c>
      <c r="B237" s="2">
        <v>135.35</v>
      </c>
      <c r="C237" s="2">
        <v>72.040000000000006</v>
      </c>
      <c r="D237" s="2">
        <v>73.78</v>
      </c>
      <c r="E237" s="2">
        <v>121.04</v>
      </c>
      <c r="F237" s="2">
        <v>12.44</v>
      </c>
      <c r="G237">
        <v>-2</v>
      </c>
      <c r="H237">
        <v>1</v>
      </c>
      <c r="I237">
        <v>5</v>
      </c>
      <c r="J237">
        <v>0</v>
      </c>
      <c r="K237">
        <v>0</v>
      </c>
      <c r="L237">
        <v>2</v>
      </c>
      <c r="M237" s="1">
        <f t="shared" si="24"/>
        <v>-0.46775027705947536</v>
      </c>
      <c r="N237" s="1">
        <f t="shared" si="25"/>
        <v>-0.45489471739933507</v>
      </c>
      <c r="O237" s="1">
        <f t="shared" si="26"/>
        <v>-0.10572589582563718</v>
      </c>
      <c r="P237">
        <f t="shared" si="27"/>
        <v>183</v>
      </c>
      <c r="Q237">
        <f t="shared" si="28"/>
        <v>247</v>
      </c>
      <c r="R237">
        <f t="shared" si="29"/>
        <v>295</v>
      </c>
      <c r="S237">
        <f t="shared" si="30"/>
        <v>725</v>
      </c>
      <c r="T237">
        <f t="shared" si="31"/>
        <v>236</v>
      </c>
      <c r="U237" s="1" cm="1">
        <f t="array" ref="U237">MIN(ABS(M237:O237))</f>
        <v>0.10572589582563718</v>
      </c>
    </row>
    <row r="238" spans="1:21" x14ac:dyDescent="0.35">
      <c r="A238" t="s">
        <v>252</v>
      </c>
      <c r="B238" s="2">
        <v>214.91</v>
      </c>
      <c r="C238" s="2">
        <v>111.48</v>
      </c>
      <c r="D238" s="2">
        <v>120.38</v>
      </c>
      <c r="E238" s="2">
        <v>180.66</v>
      </c>
      <c r="F238" s="2">
        <v>10.89</v>
      </c>
      <c r="G238">
        <v>0</v>
      </c>
      <c r="H238">
        <v>1</v>
      </c>
      <c r="I238">
        <v>5</v>
      </c>
      <c r="J238">
        <v>0</v>
      </c>
      <c r="K238">
        <v>0</v>
      </c>
      <c r="L238">
        <v>2</v>
      </c>
      <c r="M238" s="1">
        <f t="shared" si="24"/>
        <v>-0.48127122981713277</v>
      </c>
      <c r="N238" s="1">
        <f t="shared" si="25"/>
        <v>-0.43985854543762504</v>
      </c>
      <c r="O238" s="1">
        <f t="shared" si="26"/>
        <v>-0.15936903820203807</v>
      </c>
      <c r="P238">
        <f t="shared" si="27"/>
        <v>190</v>
      </c>
      <c r="Q238">
        <f t="shared" si="28"/>
        <v>234</v>
      </c>
      <c r="R238">
        <f t="shared" si="29"/>
        <v>308</v>
      </c>
      <c r="S238">
        <f t="shared" si="30"/>
        <v>732</v>
      </c>
      <c r="T238">
        <f t="shared" si="31"/>
        <v>237</v>
      </c>
      <c r="U238" s="1" cm="1">
        <f t="array" ref="U238">MIN(ABS(M238:O238))</f>
        <v>0.15936903820203807</v>
      </c>
    </row>
    <row r="239" spans="1:21" x14ac:dyDescent="0.35">
      <c r="A239" t="s">
        <v>274</v>
      </c>
      <c r="B239" s="2">
        <v>5.13</v>
      </c>
      <c r="C239" s="2">
        <v>2.66</v>
      </c>
      <c r="D239" s="2">
        <v>2.73</v>
      </c>
      <c r="E239" s="2">
        <v>4.71</v>
      </c>
      <c r="F239" s="2">
        <v>13.76</v>
      </c>
      <c r="G239">
        <v>-2</v>
      </c>
      <c r="H239">
        <v>1</v>
      </c>
      <c r="I239">
        <v>5</v>
      </c>
      <c r="J239">
        <v>0</v>
      </c>
      <c r="K239">
        <v>0</v>
      </c>
      <c r="L239">
        <v>2</v>
      </c>
      <c r="M239" s="1">
        <f t="shared" si="24"/>
        <v>-0.4814814814814814</v>
      </c>
      <c r="N239" s="1">
        <f t="shared" si="25"/>
        <v>-0.46783625730994149</v>
      </c>
      <c r="O239" s="1">
        <f t="shared" si="26"/>
        <v>-8.1871345029239762E-2</v>
      </c>
      <c r="P239">
        <f t="shared" si="27"/>
        <v>191</v>
      </c>
      <c r="Q239">
        <f t="shared" si="28"/>
        <v>257</v>
      </c>
      <c r="R239">
        <f t="shared" si="29"/>
        <v>284</v>
      </c>
      <c r="S239">
        <f t="shared" si="30"/>
        <v>732</v>
      </c>
      <c r="T239">
        <f t="shared" si="31"/>
        <v>237</v>
      </c>
      <c r="U239" s="1" cm="1">
        <f t="array" ref="U239">MIN(ABS(M239:O239))</f>
        <v>8.1871345029239762E-2</v>
      </c>
    </row>
    <row r="240" spans="1:21" x14ac:dyDescent="0.35">
      <c r="A240" t="s">
        <v>250</v>
      </c>
      <c r="B240" s="2">
        <v>1004.06</v>
      </c>
      <c r="C240" s="2">
        <v>476.28</v>
      </c>
      <c r="D240" s="2">
        <v>564.66999999999996</v>
      </c>
      <c r="E240" s="2">
        <v>905.26</v>
      </c>
      <c r="F240" s="2">
        <v>10.08</v>
      </c>
      <c r="G240">
        <v>0</v>
      </c>
      <c r="H240">
        <v>2</v>
      </c>
      <c r="I240">
        <v>5</v>
      </c>
      <c r="J240">
        <v>0</v>
      </c>
      <c r="K240">
        <v>1</v>
      </c>
      <c r="L240">
        <v>2</v>
      </c>
      <c r="M240" s="1">
        <f t="shared" si="24"/>
        <v>-0.52564587773639027</v>
      </c>
      <c r="N240" s="1">
        <f t="shared" si="25"/>
        <v>-0.43761329004242777</v>
      </c>
      <c r="O240" s="1">
        <f t="shared" si="26"/>
        <v>-9.8400493994382776E-2</v>
      </c>
      <c r="P240">
        <f t="shared" si="27"/>
        <v>213</v>
      </c>
      <c r="Q240">
        <f t="shared" si="28"/>
        <v>232</v>
      </c>
      <c r="R240">
        <f t="shared" si="29"/>
        <v>291</v>
      </c>
      <c r="S240">
        <f t="shared" si="30"/>
        <v>736</v>
      </c>
      <c r="T240">
        <f t="shared" si="31"/>
        <v>239</v>
      </c>
      <c r="U240" s="1" cm="1">
        <f t="array" ref="U240">MIN(ABS(M240:O240))</f>
        <v>9.8400493994382776E-2</v>
      </c>
    </row>
    <row r="241" spans="1:21" x14ac:dyDescent="0.35">
      <c r="A241" t="s">
        <v>251</v>
      </c>
      <c r="B241" s="2">
        <v>938</v>
      </c>
      <c r="C241" s="2">
        <v>411.51</v>
      </c>
      <c r="D241" s="2">
        <v>525.49</v>
      </c>
      <c r="E241" s="2">
        <v>900.13</v>
      </c>
      <c r="F241" s="2">
        <v>11.32</v>
      </c>
      <c r="G241">
        <v>1</v>
      </c>
      <c r="H241">
        <v>3</v>
      </c>
      <c r="I241">
        <v>6</v>
      </c>
      <c r="J241">
        <v>0</v>
      </c>
      <c r="K241">
        <v>0</v>
      </c>
      <c r="L241">
        <v>2</v>
      </c>
      <c r="M241" s="1">
        <f t="shared" si="24"/>
        <v>-0.56128997867803831</v>
      </c>
      <c r="N241" s="1">
        <f t="shared" si="25"/>
        <v>-0.43977611940298511</v>
      </c>
      <c r="O241" s="1">
        <f t="shared" si="26"/>
        <v>-4.0373134328358207E-2</v>
      </c>
      <c r="P241">
        <f t="shared" si="27"/>
        <v>229</v>
      </c>
      <c r="Q241">
        <f t="shared" si="28"/>
        <v>233</v>
      </c>
      <c r="R241">
        <f t="shared" si="29"/>
        <v>274</v>
      </c>
      <c r="S241">
        <f t="shared" si="30"/>
        <v>736</v>
      </c>
      <c r="T241">
        <f t="shared" si="31"/>
        <v>239</v>
      </c>
      <c r="U241" s="1" cm="1">
        <f t="array" ref="U241">MIN(ABS(M241:O241))</f>
        <v>4.0373134328358207E-2</v>
      </c>
    </row>
    <row r="242" spans="1:21" x14ac:dyDescent="0.35">
      <c r="A242" t="s">
        <v>255</v>
      </c>
      <c r="B242" s="2">
        <v>343.99</v>
      </c>
      <c r="C242" s="2">
        <v>136.86000000000001</v>
      </c>
      <c r="D242" s="2">
        <v>191.21</v>
      </c>
      <c r="E242" s="2">
        <v>372.92</v>
      </c>
      <c r="F242" s="2">
        <v>8.52</v>
      </c>
      <c r="G242">
        <v>1</v>
      </c>
      <c r="H242">
        <v>4</v>
      </c>
      <c r="I242">
        <v>8</v>
      </c>
      <c r="J242">
        <v>0</v>
      </c>
      <c r="K242">
        <v>1</v>
      </c>
      <c r="L242">
        <v>2</v>
      </c>
      <c r="M242" s="1">
        <f t="shared" si="24"/>
        <v>-0.60213959708131048</v>
      </c>
      <c r="N242" s="1">
        <f t="shared" si="25"/>
        <v>-0.4441408180470362</v>
      </c>
      <c r="O242" s="1">
        <f t="shared" si="26"/>
        <v>8.4101282014012124E-2</v>
      </c>
      <c r="P242">
        <f t="shared" si="27"/>
        <v>260</v>
      </c>
      <c r="Q242">
        <f t="shared" si="28"/>
        <v>237</v>
      </c>
      <c r="R242">
        <f t="shared" si="29"/>
        <v>242</v>
      </c>
      <c r="S242">
        <f t="shared" si="30"/>
        <v>739</v>
      </c>
      <c r="T242">
        <f t="shared" si="31"/>
        <v>241</v>
      </c>
      <c r="U242" s="1" cm="1">
        <f t="array" ref="U242">MIN(ABS(M242:O242))</f>
        <v>8.4101282014012124E-2</v>
      </c>
    </row>
    <row r="243" spans="1:21" x14ac:dyDescent="0.35">
      <c r="A243" t="s">
        <v>260</v>
      </c>
      <c r="B243" s="2">
        <v>17.170000000000002</v>
      </c>
      <c r="C243" s="2">
        <v>7.62</v>
      </c>
      <c r="D243" s="2">
        <v>9.4600000000000009</v>
      </c>
      <c r="E243" s="2">
        <v>16.61</v>
      </c>
      <c r="F243" s="2">
        <v>12.55</v>
      </c>
      <c r="G243">
        <v>1</v>
      </c>
      <c r="H243">
        <v>3</v>
      </c>
      <c r="I243">
        <v>6</v>
      </c>
      <c r="J243">
        <v>0</v>
      </c>
      <c r="K243">
        <v>1</v>
      </c>
      <c r="L243">
        <v>2</v>
      </c>
      <c r="M243" s="1">
        <f t="shared" si="24"/>
        <v>-0.55620267909143861</v>
      </c>
      <c r="N243" s="1">
        <f t="shared" si="25"/>
        <v>-0.44903902154921371</v>
      </c>
      <c r="O243" s="1">
        <f t="shared" si="26"/>
        <v>-3.2615026208503317E-2</v>
      </c>
      <c r="P243">
        <f t="shared" si="27"/>
        <v>225</v>
      </c>
      <c r="Q243">
        <f t="shared" si="28"/>
        <v>242</v>
      </c>
      <c r="R243">
        <f t="shared" si="29"/>
        <v>272</v>
      </c>
      <c r="S243">
        <f t="shared" si="30"/>
        <v>739</v>
      </c>
      <c r="T243">
        <f t="shared" si="31"/>
        <v>241</v>
      </c>
      <c r="U243" s="1" cm="1">
        <f t="array" ref="U243">MIN(ABS(M243:O243))</f>
        <v>3.2615026208503317E-2</v>
      </c>
    </row>
    <row r="244" spans="1:21" x14ac:dyDescent="0.35">
      <c r="A244" t="s">
        <v>257</v>
      </c>
      <c r="B244" s="2">
        <v>164.04</v>
      </c>
      <c r="C244" s="2">
        <v>48.51</v>
      </c>
      <c r="D244" s="2">
        <v>90.53</v>
      </c>
      <c r="E244" s="2">
        <v>259.88</v>
      </c>
      <c r="F244" s="2">
        <v>6.74</v>
      </c>
      <c r="G244">
        <v>1</v>
      </c>
      <c r="H244">
        <v>6</v>
      </c>
      <c r="I244">
        <v>10</v>
      </c>
      <c r="J244">
        <v>1</v>
      </c>
      <c r="K244">
        <v>5</v>
      </c>
      <c r="L244">
        <v>9</v>
      </c>
      <c r="M244" s="1">
        <f t="shared" si="24"/>
        <v>-0.70427944403803955</v>
      </c>
      <c r="N244" s="1">
        <f t="shared" si="25"/>
        <v>-0.44812240916849544</v>
      </c>
      <c r="O244" s="1">
        <f t="shared" si="26"/>
        <v>0.58424774445257266</v>
      </c>
      <c r="P244">
        <f t="shared" si="27"/>
        <v>336</v>
      </c>
      <c r="Q244">
        <f t="shared" si="28"/>
        <v>239</v>
      </c>
      <c r="R244">
        <f t="shared" si="29"/>
        <v>172</v>
      </c>
      <c r="S244">
        <f t="shared" si="30"/>
        <v>747</v>
      </c>
      <c r="T244">
        <f t="shared" si="31"/>
        <v>243</v>
      </c>
      <c r="U244" s="1" cm="1">
        <f t="array" ref="U244">MIN(ABS(M244:O244))</f>
        <v>0.44812240916849544</v>
      </c>
    </row>
    <row r="245" spans="1:21" x14ac:dyDescent="0.35">
      <c r="A245" t="s">
        <v>263</v>
      </c>
      <c r="B245" s="2">
        <v>462.5</v>
      </c>
      <c r="C245" s="2">
        <v>206.79</v>
      </c>
      <c r="D245" s="2">
        <v>252.94</v>
      </c>
      <c r="E245" s="2">
        <v>430.96</v>
      </c>
      <c r="F245" s="2">
        <v>11.33</v>
      </c>
      <c r="G245">
        <v>1</v>
      </c>
      <c r="H245">
        <v>2</v>
      </c>
      <c r="I245">
        <v>5</v>
      </c>
      <c r="J245">
        <v>0</v>
      </c>
      <c r="K245">
        <v>1</v>
      </c>
      <c r="L245">
        <v>2</v>
      </c>
      <c r="M245" s="1">
        <f t="shared" si="24"/>
        <v>-0.55288648648648653</v>
      </c>
      <c r="N245" s="1">
        <f t="shared" si="25"/>
        <v>-0.4531027027027027</v>
      </c>
      <c r="O245" s="1">
        <f t="shared" si="26"/>
        <v>-6.8194594594594649E-2</v>
      </c>
      <c r="P245">
        <f t="shared" si="27"/>
        <v>223</v>
      </c>
      <c r="Q245">
        <f t="shared" si="28"/>
        <v>246</v>
      </c>
      <c r="R245">
        <f t="shared" si="29"/>
        <v>279</v>
      </c>
      <c r="S245">
        <f t="shared" si="30"/>
        <v>748</v>
      </c>
      <c r="T245">
        <f t="shared" si="31"/>
        <v>244</v>
      </c>
      <c r="U245" s="1" cm="1">
        <f t="array" ref="U245">MIN(ABS(M245:O245))</f>
        <v>6.8194594594594649E-2</v>
      </c>
    </row>
    <row r="246" spans="1:21" x14ac:dyDescent="0.35">
      <c r="A246" t="s">
        <v>278</v>
      </c>
      <c r="B246" s="2">
        <v>80.81</v>
      </c>
      <c r="C246" s="2">
        <v>23.41</v>
      </c>
      <c r="D246" s="2">
        <v>42.03</v>
      </c>
      <c r="E246" s="2">
        <v>150.4</v>
      </c>
      <c r="F246" s="2">
        <v>11.9</v>
      </c>
      <c r="G246">
        <v>2</v>
      </c>
      <c r="H246">
        <v>8</v>
      </c>
      <c r="I246">
        <v>14</v>
      </c>
      <c r="J246">
        <v>0</v>
      </c>
      <c r="K246">
        <v>0</v>
      </c>
      <c r="L246">
        <v>2</v>
      </c>
      <c r="M246" s="1">
        <f t="shared" si="24"/>
        <v>-0.71030813018190819</v>
      </c>
      <c r="N246" s="1">
        <f t="shared" si="25"/>
        <v>-0.47989110258631362</v>
      </c>
      <c r="O246" s="1">
        <f t="shared" si="26"/>
        <v>0.86115579754980831</v>
      </c>
      <c r="P246">
        <f t="shared" si="27"/>
        <v>342</v>
      </c>
      <c r="Q246">
        <f t="shared" si="28"/>
        <v>261</v>
      </c>
      <c r="R246">
        <f t="shared" si="29"/>
        <v>145</v>
      </c>
      <c r="S246">
        <f t="shared" si="30"/>
        <v>748</v>
      </c>
      <c r="T246">
        <f t="shared" si="31"/>
        <v>244</v>
      </c>
      <c r="U246" s="1" cm="1">
        <f t="array" ref="U246">MIN(ABS(M246:O246))</f>
        <v>0.47989110258631362</v>
      </c>
    </row>
    <row r="247" spans="1:21" x14ac:dyDescent="0.35">
      <c r="A247" t="s">
        <v>276</v>
      </c>
      <c r="B247" s="2">
        <v>297.27999999999997</v>
      </c>
      <c r="C247" s="2">
        <v>116.9</v>
      </c>
      <c r="D247" s="2">
        <v>156.35</v>
      </c>
      <c r="E247" s="2">
        <v>349.7</v>
      </c>
      <c r="F247" s="2">
        <v>11.6</v>
      </c>
      <c r="G247">
        <v>1</v>
      </c>
      <c r="H247">
        <v>7</v>
      </c>
      <c r="I247">
        <v>12</v>
      </c>
      <c r="J247">
        <v>0</v>
      </c>
      <c r="K247">
        <v>0</v>
      </c>
      <c r="L247">
        <v>2</v>
      </c>
      <c r="M247" s="1">
        <f t="shared" si="24"/>
        <v>-0.60676803013993541</v>
      </c>
      <c r="N247" s="1">
        <f t="shared" si="25"/>
        <v>-0.47406485468245418</v>
      </c>
      <c r="O247" s="1">
        <f t="shared" si="26"/>
        <v>0.17633207750269109</v>
      </c>
      <c r="P247">
        <f t="shared" si="27"/>
        <v>262</v>
      </c>
      <c r="Q247">
        <f t="shared" si="28"/>
        <v>259</v>
      </c>
      <c r="R247">
        <f t="shared" si="29"/>
        <v>228</v>
      </c>
      <c r="S247">
        <f t="shared" si="30"/>
        <v>749</v>
      </c>
      <c r="T247">
        <f t="shared" si="31"/>
        <v>246</v>
      </c>
      <c r="U247" s="1" cm="1">
        <f t="array" ref="U247">MIN(ABS(M247:O247))</f>
        <v>0.17633207750269109</v>
      </c>
    </row>
    <row r="248" spans="1:21" x14ac:dyDescent="0.35">
      <c r="A248" t="s">
        <v>262</v>
      </c>
      <c r="B248" s="2">
        <v>272.36</v>
      </c>
      <c r="C248" s="2">
        <v>139.77000000000001</v>
      </c>
      <c r="D248" s="2">
        <v>148.96</v>
      </c>
      <c r="E248" s="2">
        <v>220.61</v>
      </c>
      <c r="F248" s="2">
        <v>11.37</v>
      </c>
      <c r="G248">
        <v>0</v>
      </c>
      <c r="H248">
        <v>1</v>
      </c>
      <c r="I248">
        <v>5</v>
      </c>
      <c r="J248">
        <v>0</v>
      </c>
      <c r="K248">
        <v>0</v>
      </c>
      <c r="L248">
        <v>2</v>
      </c>
      <c r="M248" s="1">
        <f t="shared" si="24"/>
        <v>-0.4868189161404024</v>
      </c>
      <c r="N248" s="1">
        <f t="shared" si="25"/>
        <v>-0.45307681010427381</v>
      </c>
      <c r="O248" s="1">
        <f t="shared" si="26"/>
        <v>-0.19000587457776474</v>
      </c>
      <c r="P248">
        <f t="shared" si="27"/>
        <v>193</v>
      </c>
      <c r="Q248">
        <f t="shared" si="28"/>
        <v>244</v>
      </c>
      <c r="R248">
        <f t="shared" si="29"/>
        <v>315</v>
      </c>
      <c r="S248">
        <f t="shared" si="30"/>
        <v>752</v>
      </c>
      <c r="T248">
        <f t="shared" si="31"/>
        <v>247</v>
      </c>
      <c r="U248" s="1" cm="1">
        <f t="array" ref="U248">MIN(ABS(M248:O248))</f>
        <v>0.19000587457776474</v>
      </c>
    </row>
    <row r="249" spans="1:21" x14ac:dyDescent="0.35">
      <c r="A249" t="s">
        <v>262</v>
      </c>
      <c r="B249" s="2">
        <v>272.36</v>
      </c>
      <c r="C249" s="2">
        <v>139.77000000000001</v>
      </c>
      <c r="D249" s="2">
        <v>148.96</v>
      </c>
      <c r="E249" s="2">
        <v>220.61</v>
      </c>
      <c r="F249" s="2">
        <v>11.37</v>
      </c>
      <c r="G249">
        <v>0</v>
      </c>
      <c r="H249">
        <v>1</v>
      </c>
      <c r="I249">
        <v>5</v>
      </c>
      <c r="J249">
        <v>0</v>
      </c>
      <c r="K249">
        <v>0</v>
      </c>
      <c r="L249">
        <v>2</v>
      </c>
      <c r="M249" s="1">
        <f t="shared" si="24"/>
        <v>-0.4868189161404024</v>
      </c>
      <c r="N249" s="1">
        <f t="shared" si="25"/>
        <v>-0.45307681010427381</v>
      </c>
      <c r="O249" s="1">
        <f t="shared" si="26"/>
        <v>-0.19000587457776474</v>
      </c>
      <c r="P249">
        <f t="shared" si="27"/>
        <v>193</v>
      </c>
      <c r="Q249">
        <f t="shared" si="28"/>
        <v>244</v>
      </c>
      <c r="R249">
        <f t="shared" si="29"/>
        <v>315</v>
      </c>
      <c r="S249">
        <f t="shared" si="30"/>
        <v>752</v>
      </c>
      <c r="T249">
        <f t="shared" si="31"/>
        <v>247</v>
      </c>
      <c r="U249" s="1" cm="1">
        <f t="array" ref="U249">MIN(ABS(M249:O249))</f>
        <v>0.19000587457776474</v>
      </c>
    </row>
    <row r="250" spans="1:21" x14ac:dyDescent="0.35">
      <c r="A250" t="s">
        <v>279</v>
      </c>
      <c r="B250" s="2">
        <v>140.25</v>
      </c>
      <c r="C250" s="2">
        <v>73.900000000000006</v>
      </c>
      <c r="D250" s="2">
        <v>72.75</v>
      </c>
      <c r="E250" s="2">
        <v>120.36</v>
      </c>
      <c r="F250" s="2">
        <v>11.92</v>
      </c>
      <c r="G250">
        <v>-3</v>
      </c>
      <c r="H250">
        <v>1</v>
      </c>
      <c r="I250">
        <v>5</v>
      </c>
      <c r="J250">
        <v>0</v>
      </c>
      <c r="K250">
        <v>1</v>
      </c>
      <c r="L250">
        <v>2</v>
      </c>
      <c r="M250" s="1">
        <f t="shared" si="24"/>
        <v>-0.47308377896613185</v>
      </c>
      <c r="N250" s="1">
        <f t="shared" si="25"/>
        <v>-0.48128342245989308</v>
      </c>
      <c r="O250" s="1">
        <f t="shared" si="26"/>
        <v>-0.14181818181818184</v>
      </c>
      <c r="P250">
        <f t="shared" si="27"/>
        <v>186</v>
      </c>
      <c r="Q250">
        <f t="shared" si="28"/>
        <v>262</v>
      </c>
      <c r="R250">
        <f t="shared" si="29"/>
        <v>305</v>
      </c>
      <c r="S250">
        <f t="shared" si="30"/>
        <v>753</v>
      </c>
      <c r="T250">
        <f t="shared" si="31"/>
        <v>249</v>
      </c>
      <c r="U250" s="1" cm="1">
        <f t="array" ref="U250">MIN(ABS(M250:O250))</f>
        <v>0.14181818181818184</v>
      </c>
    </row>
    <row r="251" spans="1:21" x14ac:dyDescent="0.35">
      <c r="A251" t="s">
        <v>258</v>
      </c>
      <c r="B251" s="2">
        <v>798.22</v>
      </c>
      <c r="C251" s="2">
        <v>387.1</v>
      </c>
      <c r="D251" s="2">
        <v>439.86</v>
      </c>
      <c r="E251" s="2">
        <v>676.27</v>
      </c>
      <c r="F251" s="2">
        <v>6.84</v>
      </c>
      <c r="G251">
        <v>0</v>
      </c>
      <c r="H251">
        <v>1</v>
      </c>
      <c r="I251">
        <v>5</v>
      </c>
      <c r="J251">
        <v>1</v>
      </c>
      <c r="K251">
        <v>2</v>
      </c>
      <c r="L251">
        <v>4</v>
      </c>
      <c r="M251" s="1">
        <f t="shared" si="24"/>
        <v>-0.51504597729949131</v>
      </c>
      <c r="N251" s="1">
        <f t="shared" si="25"/>
        <v>-0.44894891132770409</v>
      </c>
      <c r="O251" s="1">
        <f t="shared" si="26"/>
        <v>-0.15277742978126341</v>
      </c>
      <c r="P251">
        <f t="shared" si="27"/>
        <v>208</v>
      </c>
      <c r="Q251">
        <f t="shared" si="28"/>
        <v>240</v>
      </c>
      <c r="R251">
        <f t="shared" si="29"/>
        <v>306</v>
      </c>
      <c r="S251">
        <f t="shared" si="30"/>
        <v>754</v>
      </c>
      <c r="T251">
        <f t="shared" si="31"/>
        <v>250</v>
      </c>
      <c r="U251" s="1" cm="1">
        <f t="array" ref="U251">MIN(ABS(M251:O251))</f>
        <v>0.15277742978126341</v>
      </c>
    </row>
    <row r="252" spans="1:21" x14ac:dyDescent="0.35">
      <c r="A252" t="s">
        <v>284</v>
      </c>
      <c r="B252" s="2">
        <v>94.66</v>
      </c>
      <c r="C252" s="2">
        <v>22.91</v>
      </c>
      <c r="D252" s="2">
        <v>47.11</v>
      </c>
      <c r="E252" s="2">
        <v>219.66</v>
      </c>
      <c r="F252" s="2">
        <v>11.82</v>
      </c>
      <c r="G252">
        <v>2</v>
      </c>
      <c r="H252">
        <v>10</v>
      </c>
      <c r="I252">
        <v>18</v>
      </c>
      <c r="J252">
        <v>0</v>
      </c>
      <c r="K252">
        <v>0</v>
      </c>
      <c r="L252">
        <v>2</v>
      </c>
      <c r="M252" s="1">
        <f t="shared" si="24"/>
        <v>-0.75797591379674623</v>
      </c>
      <c r="N252" s="1">
        <f t="shared" si="25"/>
        <v>-0.50232410733150223</v>
      </c>
      <c r="O252" s="1">
        <f t="shared" si="26"/>
        <v>1.3205155292626243</v>
      </c>
      <c r="P252">
        <f t="shared" si="27"/>
        <v>381</v>
      </c>
      <c r="Q252">
        <f t="shared" si="28"/>
        <v>268</v>
      </c>
      <c r="R252">
        <f t="shared" si="29"/>
        <v>106</v>
      </c>
      <c r="S252">
        <f t="shared" si="30"/>
        <v>755</v>
      </c>
      <c r="T252">
        <f t="shared" si="31"/>
        <v>251</v>
      </c>
      <c r="U252" s="1" cm="1">
        <f t="array" ref="U252">MIN(ABS(M252:O252))</f>
        <v>0.50232410733150223</v>
      </c>
    </row>
    <row r="253" spans="1:21" x14ac:dyDescent="0.35">
      <c r="A253" t="s">
        <v>261</v>
      </c>
      <c r="B253" s="2">
        <v>27.44</v>
      </c>
      <c r="C253" s="2">
        <v>13.24</v>
      </c>
      <c r="D253" s="2">
        <v>15.11</v>
      </c>
      <c r="E253" s="2">
        <v>23.71</v>
      </c>
      <c r="F253" s="2">
        <v>12.44</v>
      </c>
      <c r="G253">
        <v>0</v>
      </c>
      <c r="H253">
        <v>2</v>
      </c>
      <c r="I253">
        <v>5</v>
      </c>
      <c r="J253">
        <v>0</v>
      </c>
      <c r="K253">
        <v>0</v>
      </c>
      <c r="L253">
        <v>2</v>
      </c>
      <c r="M253" s="1">
        <f t="shared" si="24"/>
        <v>-0.51749271137026243</v>
      </c>
      <c r="N253" s="1">
        <f t="shared" si="25"/>
        <v>-0.44934402332361523</v>
      </c>
      <c r="O253" s="1">
        <f t="shared" si="26"/>
        <v>-0.13593294460641403</v>
      </c>
      <c r="P253">
        <f t="shared" si="27"/>
        <v>210</v>
      </c>
      <c r="Q253">
        <f t="shared" si="28"/>
        <v>243</v>
      </c>
      <c r="R253">
        <f t="shared" si="29"/>
        <v>303</v>
      </c>
      <c r="S253">
        <f t="shared" si="30"/>
        <v>756</v>
      </c>
      <c r="T253">
        <f t="shared" si="31"/>
        <v>252</v>
      </c>
      <c r="U253" s="1" cm="1">
        <f t="array" ref="U253">MIN(ABS(M253:O253))</f>
        <v>0.13593294460641403</v>
      </c>
    </row>
    <row r="254" spans="1:21" x14ac:dyDescent="0.35">
      <c r="A254" t="s">
        <v>266</v>
      </c>
      <c r="B254" s="2">
        <v>270.14</v>
      </c>
      <c r="C254" s="2">
        <v>106.04</v>
      </c>
      <c r="D254" s="2">
        <v>147.02000000000001</v>
      </c>
      <c r="E254" s="2">
        <v>292.63</v>
      </c>
      <c r="F254" s="2">
        <v>10.29</v>
      </c>
      <c r="G254">
        <v>1</v>
      </c>
      <c r="H254">
        <v>4</v>
      </c>
      <c r="I254">
        <v>8</v>
      </c>
      <c r="J254">
        <v>0</v>
      </c>
      <c r="K254">
        <v>1</v>
      </c>
      <c r="L254">
        <v>2</v>
      </c>
      <c r="M254" s="1">
        <f t="shared" si="24"/>
        <v>-0.60746279706818684</v>
      </c>
      <c r="N254" s="1">
        <f t="shared" si="25"/>
        <v>-0.45576367809284068</v>
      </c>
      <c r="O254" s="1">
        <f t="shared" si="26"/>
        <v>8.3253128007699795E-2</v>
      </c>
      <c r="P254">
        <f t="shared" si="27"/>
        <v>264</v>
      </c>
      <c r="Q254">
        <f t="shared" si="28"/>
        <v>249</v>
      </c>
      <c r="R254">
        <f t="shared" si="29"/>
        <v>243</v>
      </c>
      <c r="S254">
        <f t="shared" si="30"/>
        <v>756</v>
      </c>
      <c r="T254">
        <f t="shared" si="31"/>
        <v>252</v>
      </c>
      <c r="U254" s="1" cm="1">
        <f t="array" ref="U254">MIN(ABS(M254:O254))</f>
        <v>8.3253128007699795E-2</v>
      </c>
    </row>
    <row r="255" spans="1:21" x14ac:dyDescent="0.35">
      <c r="A255" t="s">
        <v>265</v>
      </c>
      <c r="B255" s="2">
        <v>234.51</v>
      </c>
      <c r="C255" s="2">
        <v>97.32</v>
      </c>
      <c r="D255" s="2">
        <v>127.63</v>
      </c>
      <c r="E255" s="2">
        <v>231.54</v>
      </c>
      <c r="F255" s="2">
        <v>10.9</v>
      </c>
      <c r="G255">
        <v>1</v>
      </c>
      <c r="H255">
        <v>4</v>
      </c>
      <c r="I255">
        <v>7</v>
      </c>
      <c r="J255">
        <v>0</v>
      </c>
      <c r="K255">
        <v>1</v>
      </c>
      <c r="L255">
        <v>2</v>
      </c>
      <c r="M255" s="1">
        <f t="shared" si="24"/>
        <v>-0.58500703594729431</v>
      </c>
      <c r="N255" s="1">
        <f t="shared" si="25"/>
        <v>-0.45575881625517034</v>
      </c>
      <c r="O255" s="1">
        <f t="shared" si="26"/>
        <v>-1.2664705129845188E-2</v>
      </c>
      <c r="P255">
        <f t="shared" si="27"/>
        <v>243</v>
      </c>
      <c r="Q255">
        <f t="shared" si="28"/>
        <v>248</v>
      </c>
      <c r="R255">
        <f t="shared" si="29"/>
        <v>267</v>
      </c>
      <c r="S255">
        <f t="shared" si="30"/>
        <v>758</v>
      </c>
      <c r="T255">
        <f t="shared" si="31"/>
        <v>254</v>
      </c>
      <c r="U255" s="1" cm="1">
        <f t="array" ref="U255">MIN(ABS(M255:O255))</f>
        <v>1.2664705129845188E-2</v>
      </c>
    </row>
    <row r="256" spans="1:21" x14ac:dyDescent="0.35">
      <c r="A256" t="s">
        <v>259</v>
      </c>
      <c r="B256" s="2">
        <v>330.22</v>
      </c>
      <c r="C256" s="2">
        <v>156.71</v>
      </c>
      <c r="D256" s="2">
        <v>181.95</v>
      </c>
      <c r="E256" s="2">
        <v>279.3</v>
      </c>
      <c r="F256" s="2">
        <v>11.89</v>
      </c>
      <c r="G256">
        <v>0</v>
      </c>
      <c r="H256">
        <v>2</v>
      </c>
      <c r="I256">
        <v>5</v>
      </c>
      <c r="J256">
        <v>0</v>
      </c>
      <c r="K256">
        <v>0</v>
      </c>
      <c r="L256">
        <v>2</v>
      </c>
      <c r="M256" s="1">
        <f t="shared" si="24"/>
        <v>-0.52543758706317001</v>
      </c>
      <c r="N256" s="1">
        <f t="shared" si="25"/>
        <v>-0.44900369450669264</v>
      </c>
      <c r="O256" s="1">
        <f t="shared" si="26"/>
        <v>-0.15420023014959727</v>
      </c>
      <c r="P256">
        <f t="shared" si="27"/>
        <v>212</v>
      </c>
      <c r="Q256">
        <f t="shared" si="28"/>
        <v>241</v>
      </c>
      <c r="R256">
        <f t="shared" si="29"/>
        <v>307</v>
      </c>
      <c r="S256">
        <f t="shared" si="30"/>
        <v>760</v>
      </c>
      <c r="T256">
        <f t="shared" si="31"/>
        <v>255</v>
      </c>
      <c r="U256" s="1" cm="1">
        <f t="array" ref="U256">MIN(ABS(M256:O256))</f>
        <v>0.15420023014959727</v>
      </c>
    </row>
    <row r="257" spans="1:21" x14ac:dyDescent="0.35">
      <c r="A257" t="s">
        <v>268</v>
      </c>
      <c r="B257" s="2">
        <v>93.42</v>
      </c>
      <c r="C257" s="2">
        <v>47.02</v>
      </c>
      <c r="D257" s="2">
        <v>50.8</v>
      </c>
      <c r="E257" s="2">
        <v>76.42</v>
      </c>
      <c r="F257" s="2">
        <v>11.29</v>
      </c>
      <c r="G257">
        <v>0</v>
      </c>
      <c r="H257">
        <v>1</v>
      </c>
      <c r="I257">
        <v>5</v>
      </c>
      <c r="J257">
        <v>0</v>
      </c>
      <c r="K257">
        <v>0</v>
      </c>
      <c r="L257">
        <v>2</v>
      </c>
      <c r="M257" s="1">
        <f t="shared" si="24"/>
        <v>-0.49668165275101683</v>
      </c>
      <c r="N257" s="1">
        <f t="shared" si="25"/>
        <v>-0.45621922500535217</v>
      </c>
      <c r="O257" s="1">
        <f t="shared" si="26"/>
        <v>-0.18197388139584669</v>
      </c>
      <c r="P257">
        <f t="shared" si="27"/>
        <v>200</v>
      </c>
      <c r="Q257">
        <f t="shared" si="28"/>
        <v>251</v>
      </c>
      <c r="R257">
        <f t="shared" si="29"/>
        <v>311</v>
      </c>
      <c r="S257">
        <f t="shared" si="30"/>
        <v>762</v>
      </c>
      <c r="T257">
        <f t="shared" si="31"/>
        <v>256</v>
      </c>
      <c r="U257" s="1" cm="1">
        <f t="array" ref="U257">MIN(ABS(M257:O257))</f>
        <v>0.18197388139584669</v>
      </c>
    </row>
    <row r="258" spans="1:21" x14ac:dyDescent="0.35">
      <c r="A258" t="s">
        <v>269</v>
      </c>
      <c r="B258" s="2">
        <v>142.47</v>
      </c>
      <c r="C258" s="2">
        <v>71.03</v>
      </c>
      <c r="D258" s="2">
        <v>76.98</v>
      </c>
      <c r="E258" s="2">
        <v>119.05</v>
      </c>
      <c r="F258" s="2">
        <v>11.39</v>
      </c>
      <c r="G258">
        <v>0</v>
      </c>
      <c r="H258">
        <v>1</v>
      </c>
      <c r="I258">
        <v>5</v>
      </c>
      <c r="J258">
        <v>0</v>
      </c>
      <c r="K258">
        <v>1</v>
      </c>
      <c r="L258">
        <v>2</v>
      </c>
      <c r="M258" s="1">
        <f t="shared" ref="M258:M321" si="32">C258/$B258-1</f>
        <v>-0.50143889941742126</v>
      </c>
      <c r="N258" s="1">
        <f t="shared" ref="N258:N321" si="33">D258/$B258-1</f>
        <v>-0.45967572120446409</v>
      </c>
      <c r="O258" s="1">
        <f t="shared" ref="O258:O321" si="34">E258/$B258-1</f>
        <v>-0.16438548466343794</v>
      </c>
      <c r="P258">
        <f t="shared" ref="P258:P321" si="35">_xlfn.RANK.EQ(M258,M$2:M$564)</f>
        <v>202</v>
      </c>
      <c r="Q258">
        <f t="shared" ref="Q258:Q321" si="36">_xlfn.RANK.EQ(N258,N$2:N$564)</f>
        <v>252</v>
      </c>
      <c r="R258">
        <f t="shared" ref="R258:R321" si="37">_xlfn.RANK.EQ(O258,O$2:O$564)</f>
        <v>309</v>
      </c>
      <c r="S258">
        <f t="shared" ref="S258:S321" si="38">SUM(P258:R258)</f>
        <v>763</v>
      </c>
      <c r="T258">
        <f t="shared" ref="T258:T321" si="39">_xlfn.RANK.EQ(S258,S$2:S$564, 1)</f>
        <v>257</v>
      </c>
      <c r="U258" s="1" cm="1">
        <f t="array" ref="U258">MIN(ABS(M258:O258))</f>
        <v>0.16438548466343794</v>
      </c>
    </row>
    <row r="259" spans="1:21" x14ac:dyDescent="0.35">
      <c r="A259" t="s">
        <v>288</v>
      </c>
      <c r="B259" s="2">
        <v>61.67</v>
      </c>
      <c r="C259" s="2">
        <v>17.64</v>
      </c>
      <c r="D259" s="2">
        <v>30.18</v>
      </c>
      <c r="E259" s="2">
        <v>114.44</v>
      </c>
      <c r="F259" s="2">
        <v>12.46</v>
      </c>
      <c r="G259">
        <v>2</v>
      </c>
      <c r="H259">
        <v>8</v>
      </c>
      <c r="I259">
        <v>15</v>
      </c>
      <c r="J259">
        <v>0</v>
      </c>
      <c r="K259">
        <v>0</v>
      </c>
      <c r="L259">
        <v>2</v>
      </c>
      <c r="M259" s="1">
        <f t="shared" si="32"/>
        <v>-0.71396140749148695</v>
      </c>
      <c r="N259" s="1">
        <f t="shared" si="33"/>
        <v>-0.51062104751094539</v>
      </c>
      <c r="O259" s="1">
        <f t="shared" si="34"/>
        <v>0.85568347656883392</v>
      </c>
      <c r="P259">
        <f t="shared" si="35"/>
        <v>346</v>
      </c>
      <c r="Q259">
        <f t="shared" si="36"/>
        <v>273</v>
      </c>
      <c r="R259">
        <f t="shared" si="37"/>
        <v>146</v>
      </c>
      <c r="S259">
        <f t="shared" si="38"/>
        <v>765</v>
      </c>
      <c r="T259">
        <f t="shared" si="39"/>
        <v>258</v>
      </c>
      <c r="U259" s="1" cm="1">
        <f t="array" ref="U259">MIN(ABS(M259:O259))</f>
        <v>0.51062104751094539</v>
      </c>
    </row>
    <row r="260" spans="1:21" x14ac:dyDescent="0.35">
      <c r="A260" t="s">
        <v>286</v>
      </c>
      <c r="B260" s="2">
        <v>278.89999999999998</v>
      </c>
      <c r="C260" s="2">
        <v>81.98</v>
      </c>
      <c r="D260" s="2">
        <v>137.21</v>
      </c>
      <c r="E260" s="2">
        <v>484.06</v>
      </c>
      <c r="F260" s="2">
        <v>11.99</v>
      </c>
      <c r="G260">
        <v>2</v>
      </c>
      <c r="H260">
        <v>9</v>
      </c>
      <c r="I260">
        <v>15</v>
      </c>
      <c r="J260">
        <v>0</v>
      </c>
      <c r="K260">
        <v>0</v>
      </c>
      <c r="L260">
        <v>2</v>
      </c>
      <c r="M260" s="1">
        <f t="shared" si="32"/>
        <v>-0.70605951954105417</v>
      </c>
      <c r="N260" s="1">
        <f t="shared" si="33"/>
        <v>-0.50803155252778764</v>
      </c>
      <c r="O260" s="1">
        <f t="shared" si="34"/>
        <v>0.73560415919684496</v>
      </c>
      <c r="P260">
        <f t="shared" si="35"/>
        <v>338</v>
      </c>
      <c r="Q260">
        <f t="shared" si="36"/>
        <v>270</v>
      </c>
      <c r="R260">
        <f t="shared" si="37"/>
        <v>158</v>
      </c>
      <c r="S260">
        <f t="shared" si="38"/>
        <v>766</v>
      </c>
      <c r="T260">
        <f t="shared" si="39"/>
        <v>259</v>
      </c>
      <c r="U260" s="1" cm="1">
        <f t="array" ref="U260">MIN(ABS(M260:O260))</f>
        <v>0.50803155252778764</v>
      </c>
    </row>
    <row r="261" spans="1:21" x14ac:dyDescent="0.35">
      <c r="A261" t="s">
        <v>273</v>
      </c>
      <c r="B261" s="2">
        <v>937.63</v>
      </c>
      <c r="C261" s="2">
        <v>325.45</v>
      </c>
      <c r="D261" s="2">
        <v>499.28</v>
      </c>
      <c r="E261" s="2">
        <v>1141.77</v>
      </c>
      <c r="F261" s="2">
        <v>7.23</v>
      </c>
      <c r="G261">
        <v>1</v>
      </c>
      <c r="H261">
        <v>5</v>
      </c>
      <c r="I261">
        <v>9</v>
      </c>
      <c r="J261">
        <v>0</v>
      </c>
      <c r="K261">
        <v>1</v>
      </c>
      <c r="L261">
        <v>3</v>
      </c>
      <c r="M261" s="1">
        <f t="shared" si="32"/>
        <v>-0.65290146433027951</v>
      </c>
      <c r="N261" s="1">
        <f t="shared" si="33"/>
        <v>-0.4675085054872391</v>
      </c>
      <c r="O261" s="1">
        <f t="shared" si="34"/>
        <v>0.21771914294551165</v>
      </c>
      <c r="P261">
        <f t="shared" si="35"/>
        <v>292</v>
      </c>
      <c r="Q261">
        <f t="shared" si="36"/>
        <v>256</v>
      </c>
      <c r="R261">
        <f t="shared" si="37"/>
        <v>219</v>
      </c>
      <c r="S261">
        <f t="shared" si="38"/>
        <v>767</v>
      </c>
      <c r="T261">
        <f t="shared" si="39"/>
        <v>260</v>
      </c>
      <c r="U261" s="1" cm="1">
        <f t="array" ref="U261">MIN(ABS(M261:O261))</f>
        <v>0.21771914294551165</v>
      </c>
    </row>
    <row r="262" spans="1:21" x14ac:dyDescent="0.35">
      <c r="A262" t="s">
        <v>280</v>
      </c>
      <c r="B262" s="2">
        <v>237.04</v>
      </c>
      <c r="C262" s="2">
        <v>126.36</v>
      </c>
      <c r="D262" s="2">
        <v>121.12</v>
      </c>
      <c r="E262" s="2">
        <v>185.45</v>
      </c>
      <c r="F262" s="2">
        <v>11.86</v>
      </c>
      <c r="G262">
        <v>-3</v>
      </c>
      <c r="H262">
        <v>1</v>
      </c>
      <c r="I262">
        <v>5</v>
      </c>
      <c r="J262">
        <v>0</v>
      </c>
      <c r="K262">
        <v>0</v>
      </c>
      <c r="L262">
        <v>2</v>
      </c>
      <c r="M262" s="1">
        <f t="shared" si="32"/>
        <v>-0.46692541343233207</v>
      </c>
      <c r="N262" s="1">
        <f t="shared" si="33"/>
        <v>-0.48903138710766114</v>
      </c>
      <c r="O262" s="1">
        <f t="shared" si="34"/>
        <v>-0.21764259196760039</v>
      </c>
      <c r="P262">
        <f t="shared" si="35"/>
        <v>182</v>
      </c>
      <c r="Q262">
        <f t="shared" si="36"/>
        <v>263</v>
      </c>
      <c r="R262">
        <f t="shared" si="37"/>
        <v>326</v>
      </c>
      <c r="S262">
        <f t="shared" si="38"/>
        <v>771</v>
      </c>
      <c r="T262">
        <f t="shared" si="39"/>
        <v>261</v>
      </c>
      <c r="U262" s="1" cm="1">
        <f t="array" ref="U262">MIN(ABS(M262:O262))</f>
        <v>0.21764259196760039</v>
      </c>
    </row>
    <row r="263" spans="1:21" x14ac:dyDescent="0.35">
      <c r="A263" t="s">
        <v>267</v>
      </c>
      <c r="B263" s="2">
        <v>212.61</v>
      </c>
      <c r="C263" s="2">
        <v>90.55</v>
      </c>
      <c r="D263" s="2">
        <v>115.7</v>
      </c>
      <c r="E263" s="2">
        <v>194.5</v>
      </c>
      <c r="F263" s="2">
        <v>10.71</v>
      </c>
      <c r="G263">
        <v>1</v>
      </c>
      <c r="H263">
        <v>3</v>
      </c>
      <c r="I263">
        <v>5</v>
      </c>
      <c r="J263">
        <v>0</v>
      </c>
      <c r="K263">
        <v>1</v>
      </c>
      <c r="L263">
        <v>2</v>
      </c>
      <c r="M263" s="1">
        <f t="shared" si="32"/>
        <v>-0.57410281736512869</v>
      </c>
      <c r="N263" s="1">
        <f t="shared" si="33"/>
        <v>-0.45581110954329529</v>
      </c>
      <c r="O263" s="1">
        <f t="shared" si="34"/>
        <v>-8.517943652697435E-2</v>
      </c>
      <c r="P263">
        <f t="shared" si="35"/>
        <v>237</v>
      </c>
      <c r="Q263">
        <f t="shared" si="36"/>
        <v>250</v>
      </c>
      <c r="R263">
        <f t="shared" si="37"/>
        <v>286</v>
      </c>
      <c r="S263">
        <f t="shared" si="38"/>
        <v>773</v>
      </c>
      <c r="T263">
        <f t="shared" si="39"/>
        <v>262</v>
      </c>
      <c r="U263" s="1" cm="1">
        <f t="array" ref="U263">MIN(ABS(M263:O263))</f>
        <v>8.517943652697435E-2</v>
      </c>
    </row>
    <row r="264" spans="1:21" x14ac:dyDescent="0.35">
      <c r="A264" t="s">
        <v>271</v>
      </c>
      <c r="B264" s="2">
        <v>28.65</v>
      </c>
      <c r="C264" s="2">
        <v>14.46</v>
      </c>
      <c r="D264" s="2">
        <v>15.36</v>
      </c>
      <c r="E264" s="2">
        <v>22.77</v>
      </c>
      <c r="F264" s="2">
        <v>11.56</v>
      </c>
      <c r="G264">
        <v>0</v>
      </c>
      <c r="H264">
        <v>1</v>
      </c>
      <c r="I264">
        <v>5</v>
      </c>
      <c r="J264">
        <v>0</v>
      </c>
      <c r="K264">
        <v>1</v>
      </c>
      <c r="L264">
        <v>2</v>
      </c>
      <c r="M264" s="1">
        <f t="shared" si="32"/>
        <v>-0.49528795811518322</v>
      </c>
      <c r="N264" s="1">
        <f t="shared" si="33"/>
        <v>-0.46387434554973817</v>
      </c>
      <c r="O264" s="1">
        <f t="shared" si="34"/>
        <v>-0.20523560209424085</v>
      </c>
      <c r="P264">
        <f t="shared" si="35"/>
        <v>199</v>
      </c>
      <c r="Q264">
        <f t="shared" si="36"/>
        <v>254</v>
      </c>
      <c r="R264">
        <f t="shared" si="37"/>
        <v>322</v>
      </c>
      <c r="S264">
        <f t="shared" si="38"/>
        <v>775</v>
      </c>
      <c r="T264">
        <f t="shared" si="39"/>
        <v>263</v>
      </c>
      <c r="U264" s="1" cm="1">
        <f t="array" ref="U264">MIN(ABS(M264:O264))</f>
        <v>0.20523560209424085</v>
      </c>
    </row>
    <row r="265" spans="1:21" x14ac:dyDescent="0.35">
      <c r="A265" t="s">
        <v>272</v>
      </c>
      <c r="B265" s="2">
        <v>202.93</v>
      </c>
      <c r="C265" s="2">
        <v>83.82</v>
      </c>
      <c r="D265" s="2">
        <v>108.07</v>
      </c>
      <c r="E265" s="2">
        <v>189.83</v>
      </c>
      <c r="F265" s="2">
        <v>11.46</v>
      </c>
      <c r="G265">
        <v>1</v>
      </c>
      <c r="H265">
        <v>3</v>
      </c>
      <c r="I265">
        <v>6</v>
      </c>
      <c r="J265">
        <v>0</v>
      </c>
      <c r="K265">
        <v>0</v>
      </c>
      <c r="L265">
        <v>2</v>
      </c>
      <c r="M265" s="1">
        <f t="shared" si="32"/>
        <v>-0.58695116542650183</v>
      </c>
      <c r="N265" s="1">
        <f t="shared" si="33"/>
        <v>-0.46745183068053031</v>
      </c>
      <c r="O265" s="1">
        <f t="shared" si="34"/>
        <v>-6.4554279800916547E-2</v>
      </c>
      <c r="P265">
        <f t="shared" si="35"/>
        <v>246</v>
      </c>
      <c r="Q265">
        <f t="shared" si="36"/>
        <v>255</v>
      </c>
      <c r="R265">
        <f t="shared" si="37"/>
        <v>277</v>
      </c>
      <c r="S265">
        <f t="shared" si="38"/>
        <v>778</v>
      </c>
      <c r="T265">
        <f t="shared" si="39"/>
        <v>264</v>
      </c>
      <c r="U265" s="1" cm="1">
        <f t="array" ref="U265">MIN(ABS(M265:O265))</f>
        <v>6.4554279800916547E-2</v>
      </c>
    </row>
    <row r="266" spans="1:21" x14ac:dyDescent="0.35">
      <c r="A266" t="s">
        <v>302</v>
      </c>
      <c r="B266" s="2">
        <v>32.49</v>
      </c>
      <c r="C266" s="2">
        <v>10.68</v>
      </c>
      <c r="D266" s="2">
        <v>14.82</v>
      </c>
      <c r="E266" s="2">
        <v>46.9</v>
      </c>
      <c r="F266" s="2">
        <v>13.45</v>
      </c>
      <c r="G266">
        <v>0</v>
      </c>
      <c r="H266">
        <v>1</v>
      </c>
      <c r="I266">
        <v>5</v>
      </c>
      <c r="J266">
        <v>0</v>
      </c>
      <c r="K266">
        <v>0</v>
      </c>
      <c r="L266">
        <v>2</v>
      </c>
      <c r="M266" s="1">
        <f t="shared" si="32"/>
        <v>-0.67128347183748849</v>
      </c>
      <c r="N266" s="1">
        <f t="shared" si="33"/>
        <v>-0.54385964912280704</v>
      </c>
      <c r="O266" s="1">
        <f t="shared" si="34"/>
        <v>0.44352108341027985</v>
      </c>
      <c r="P266">
        <f t="shared" si="35"/>
        <v>309</v>
      </c>
      <c r="Q266">
        <f t="shared" si="36"/>
        <v>287</v>
      </c>
      <c r="R266">
        <f t="shared" si="37"/>
        <v>185</v>
      </c>
      <c r="S266">
        <f t="shared" si="38"/>
        <v>781</v>
      </c>
      <c r="T266">
        <f t="shared" si="39"/>
        <v>265</v>
      </c>
      <c r="U266" s="1" cm="1">
        <f t="array" ref="U266">MIN(ABS(M266:O266))</f>
        <v>0.44352108341027985</v>
      </c>
    </row>
    <row r="267" spans="1:21" x14ac:dyDescent="0.35">
      <c r="A267" t="s">
        <v>270</v>
      </c>
      <c r="B267" s="2">
        <v>176.49</v>
      </c>
      <c r="C267" s="2">
        <v>82.27</v>
      </c>
      <c r="D267" s="2">
        <v>94.78</v>
      </c>
      <c r="E267" s="2">
        <v>143.83000000000001</v>
      </c>
      <c r="F267" s="2">
        <v>10.62</v>
      </c>
      <c r="G267">
        <v>0</v>
      </c>
      <c r="H267">
        <v>2</v>
      </c>
      <c r="I267">
        <v>5</v>
      </c>
      <c r="J267">
        <v>0</v>
      </c>
      <c r="K267">
        <v>1</v>
      </c>
      <c r="L267">
        <v>2</v>
      </c>
      <c r="M267" s="1">
        <f t="shared" si="32"/>
        <v>-0.53385460932630746</v>
      </c>
      <c r="N267" s="1">
        <f t="shared" si="33"/>
        <v>-0.46297240636863279</v>
      </c>
      <c r="O267" s="1">
        <f t="shared" si="34"/>
        <v>-0.18505297750580763</v>
      </c>
      <c r="P267">
        <f t="shared" si="35"/>
        <v>217</v>
      </c>
      <c r="Q267">
        <f t="shared" si="36"/>
        <v>253</v>
      </c>
      <c r="R267">
        <f t="shared" si="37"/>
        <v>313</v>
      </c>
      <c r="S267">
        <f t="shared" si="38"/>
        <v>783</v>
      </c>
      <c r="T267">
        <f t="shared" si="39"/>
        <v>266</v>
      </c>
      <c r="U267" s="1" cm="1">
        <f t="array" ref="U267">MIN(ABS(M267:O267))</f>
        <v>0.18505297750580763</v>
      </c>
    </row>
    <row r="268" spans="1:21" x14ac:dyDescent="0.35">
      <c r="A268" t="s">
        <v>287</v>
      </c>
      <c r="B268" s="2">
        <v>417.32</v>
      </c>
      <c r="C268" s="2">
        <v>134.02000000000001</v>
      </c>
      <c r="D268" s="2">
        <v>204.32</v>
      </c>
      <c r="E268" s="2">
        <v>501.04</v>
      </c>
      <c r="F268" s="2">
        <v>10.53</v>
      </c>
      <c r="G268">
        <v>1</v>
      </c>
      <c r="H268">
        <v>6</v>
      </c>
      <c r="I268">
        <v>10</v>
      </c>
      <c r="J268">
        <v>0</v>
      </c>
      <c r="K268">
        <v>1</v>
      </c>
      <c r="L268">
        <v>2</v>
      </c>
      <c r="M268" s="1">
        <f t="shared" si="32"/>
        <v>-0.67885555449055879</v>
      </c>
      <c r="N268" s="1">
        <f t="shared" si="33"/>
        <v>-0.51039969328093548</v>
      </c>
      <c r="O268" s="1">
        <f t="shared" si="34"/>
        <v>0.20061343812901367</v>
      </c>
      <c r="P268">
        <f t="shared" si="35"/>
        <v>316</v>
      </c>
      <c r="Q268">
        <f t="shared" si="36"/>
        <v>271</v>
      </c>
      <c r="R268">
        <f t="shared" si="37"/>
        <v>222</v>
      </c>
      <c r="S268">
        <f t="shared" si="38"/>
        <v>809</v>
      </c>
      <c r="T268">
        <f t="shared" si="39"/>
        <v>267</v>
      </c>
      <c r="U268" s="1" cm="1">
        <f t="array" ref="U268">MIN(ABS(M268:O268))</f>
        <v>0.20061343812901367</v>
      </c>
    </row>
    <row r="269" spans="1:21" x14ac:dyDescent="0.35">
      <c r="A269" t="s">
        <v>287</v>
      </c>
      <c r="B269" s="2">
        <v>417.32</v>
      </c>
      <c r="C269" s="2">
        <v>134.02000000000001</v>
      </c>
      <c r="D269" s="2">
        <v>204.32</v>
      </c>
      <c r="E269" s="2">
        <v>501.04</v>
      </c>
      <c r="F269" s="2">
        <v>10.53</v>
      </c>
      <c r="G269">
        <v>1</v>
      </c>
      <c r="H269">
        <v>6</v>
      </c>
      <c r="I269">
        <v>10</v>
      </c>
      <c r="J269">
        <v>0</v>
      </c>
      <c r="K269">
        <v>1</v>
      </c>
      <c r="L269">
        <v>2</v>
      </c>
      <c r="M269" s="1">
        <f t="shared" si="32"/>
        <v>-0.67885555449055879</v>
      </c>
      <c r="N269" s="1">
        <f t="shared" si="33"/>
        <v>-0.51039969328093548</v>
      </c>
      <c r="O269" s="1">
        <f t="shared" si="34"/>
        <v>0.20061343812901367</v>
      </c>
      <c r="P269">
        <f t="shared" si="35"/>
        <v>316</v>
      </c>
      <c r="Q269">
        <f t="shared" si="36"/>
        <v>271</v>
      </c>
      <c r="R269">
        <f t="shared" si="37"/>
        <v>222</v>
      </c>
      <c r="S269">
        <f t="shared" si="38"/>
        <v>809</v>
      </c>
      <c r="T269">
        <f t="shared" si="39"/>
        <v>267</v>
      </c>
      <c r="U269" s="1" cm="1">
        <f t="array" ref="U269">MIN(ABS(M269:O269))</f>
        <v>0.20061343812901367</v>
      </c>
    </row>
    <row r="270" spans="1:21" x14ac:dyDescent="0.35">
      <c r="A270" t="s">
        <v>293</v>
      </c>
      <c r="B270" s="2">
        <v>23</v>
      </c>
      <c r="C270" s="2">
        <v>10.36</v>
      </c>
      <c r="D270" s="2">
        <v>10.88</v>
      </c>
      <c r="E270" s="2">
        <v>19</v>
      </c>
      <c r="F270" s="2">
        <v>12.69</v>
      </c>
      <c r="G270">
        <v>-2</v>
      </c>
      <c r="H270">
        <v>1</v>
      </c>
      <c r="I270">
        <v>5</v>
      </c>
      <c r="J270">
        <v>0</v>
      </c>
      <c r="K270">
        <v>0</v>
      </c>
      <c r="L270">
        <v>2</v>
      </c>
      <c r="M270" s="1">
        <f t="shared" si="32"/>
        <v>-0.54956521739130437</v>
      </c>
      <c r="N270" s="1">
        <f t="shared" si="33"/>
        <v>-0.52695652173913032</v>
      </c>
      <c r="O270" s="1">
        <f t="shared" si="34"/>
        <v>-0.17391304347826086</v>
      </c>
      <c r="P270">
        <f t="shared" si="35"/>
        <v>221</v>
      </c>
      <c r="Q270">
        <f t="shared" si="36"/>
        <v>278</v>
      </c>
      <c r="R270">
        <f t="shared" si="37"/>
        <v>310</v>
      </c>
      <c r="S270">
        <f t="shared" si="38"/>
        <v>809</v>
      </c>
      <c r="T270">
        <f t="shared" si="39"/>
        <v>267</v>
      </c>
      <c r="U270" s="1" cm="1">
        <f t="array" ref="U270">MIN(ABS(M270:O270))</f>
        <v>0.17391304347826086</v>
      </c>
    </row>
    <row r="271" spans="1:21" x14ac:dyDescent="0.35">
      <c r="A271" t="s">
        <v>275</v>
      </c>
      <c r="B271" s="2">
        <v>32.520000000000003</v>
      </c>
      <c r="C271" s="2">
        <v>6.6</v>
      </c>
      <c r="D271" s="2">
        <v>17.23</v>
      </c>
      <c r="E271" s="2">
        <v>59.51</v>
      </c>
      <c r="F271" s="2">
        <v>7.43</v>
      </c>
      <c r="G271">
        <v>1</v>
      </c>
      <c r="H271">
        <v>6</v>
      </c>
      <c r="I271">
        <v>10</v>
      </c>
      <c r="J271">
        <v>1</v>
      </c>
      <c r="K271">
        <v>5</v>
      </c>
      <c r="L271">
        <v>9</v>
      </c>
      <c r="M271" s="1">
        <f t="shared" si="32"/>
        <v>-0.79704797047970488</v>
      </c>
      <c r="N271" s="1">
        <f t="shared" si="33"/>
        <v>-0.47017220172201724</v>
      </c>
      <c r="O271" s="1">
        <f t="shared" si="34"/>
        <v>0.82995079950799489</v>
      </c>
      <c r="P271">
        <f t="shared" si="35"/>
        <v>404</v>
      </c>
      <c r="Q271">
        <f t="shared" si="36"/>
        <v>258</v>
      </c>
      <c r="R271">
        <f t="shared" si="37"/>
        <v>150</v>
      </c>
      <c r="S271">
        <f t="shared" si="38"/>
        <v>812</v>
      </c>
      <c r="T271">
        <f t="shared" si="39"/>
        <v>270</v>
      </c>
      <c r="U271" s="1" cm="1">
        <f t="array" ref="U271">MIN(ABS(M271:O271))</f>
        <v>0.47017220172201724</v>
      </c>
    </row>
    <row r="272" spans="1:21" x14ac:dyDescent="0.35">
      <c r="A272" t="s">
        <v>291</v>
      </c>
      <c r="B272" s="2">
        <v>251.35</v>
      </c>
      <c r="C272" s="2">
        <v>84.84</v>
      </c>
      <c r="D272" s="2">
        <v>121.95</v>
      </c>
      <c r="E272" s="2">
        <v>272.14999999999998</v>
      </c>
      <c r="F272" s="2">
        <v>11.08</v>
      </c>
      <c r="G272">
        <v>1</v>
      </c>
      <c r="H272">
        <v>5</v>
      </c>
      <c r="I272">
        <v>9</v>
      </c>
      <c r="J272">
        <v>0</v>
      </c>
      <c r="K272">
        <v>1</v>
      </c>
      <c r="L272">
        <v>2</v>
      </c>
      <c r="M272" s="1">
        <f t="shared" si="32"/>
        <v>-0.66246270141237318</v>
      </c>
      <c r="N272" s="1">
        <f t="shared" si="33"/>
        <v>-0.51481997215038788</v>
      </c>
      <c r="O272" s="1">
        <f t="shared" si="34"/>
        <v>8.2753133081360675E-2</v>
      </c>
      <c r="P272">
        <f t="shared" si="35"/>
        <v>299</v>
      </c>
      <c r="Q272">
        <f t="shared" si="36"/>
        <v>276</v>
      </c>
      <c r="R272">
        <f t="shared" si="37"/>
        <v>245</v>
      </c>
      <c r="S272">
        <f t="shared" si="38"/>
        <v>820</v>
      </c>
      <c r="T272">
        <f t="shared" si="39"/>
        <v>271</v>
      </c>
      <c r="U272" s="1" cm="1">
        <f t="array" ref="U272">MIN(ABS(M272:O272))</f>
        <v>8.2753133081360675E-2</v>
      </c>
    </row>
    <row r="273" spans="1:21" x14ac:dyDescent="0.35">
      <c r="A273" t="s">
        <v>281</v>
      </c>
      <c r="B273" s="2">
        <v>213.97</v>
      </c>
      <c r="C273" s="2">
        <v>93.09</v>
      </c>
      <c r="D273" s="2">
        <v>108.41</v>
      </c>
      <c r="E273" s="2">
        <v>165.85</v>
      </c>
      <c r="F273" s="2">
        <v>11.63</v>
      </c>
      <c r="G273">
        <v>1</v>
      </c>
      <c r="H273">
        <v>2</v>
      </c>
      <c r="I273">
        <v>5</v>
      </c>
      <c r="J273">
        <v>0</v>
      </c>
      <c r="K273">
        <v>0</v>
      </c>
      <c r="L273">
        <v>2</v>
      </c>
      <c r="M273" s="1">
        <f t="shared" si="32"/>
        <v>-0.56493901014160863</v>
      </c>
      <c r="N273" s="1">
        <f t="shared" si="33"/>
        <v>-0.49334018787680523</v>
      </c>
      <c r="O273" s="1">
        <f t="shared" si="34"/>
        <v>-0.22489133990746368</v>
      </c>
      <c r="P273">
        <f t="shared" si="35"/>
        <v>232</v>
      </c>
      <c r="Q273">
        <f t="shared" si="36"/>
        <v>264</v>
      </c>
      <c r="R273">
        <f t="shared" si="37"/>
        <v>329</v>
      </c>
      <c r="S273">
        <f t="shared" si="38"/>
        <v>825</v>
      </c>
      <c r="T273">
        <f t="shared" si="39"/>
        <v>272</v>
      </c>
      <c r="U273" s="1" cm="1">
        <f t="array" ref="U273">MIN(ABS(M273:O273))</f>
        <v>0.22489133990746368</v>
      </c>
    </row>
    <row r="274" spans="1:21" x14ac:dyDescent="0.35">
      <c r="A274" t="s">
        <v>281</v>
      </c>
      <c r="B274" s="2">
        <v>213.97</v>
      </c>
      <c r="C274" s="2">
        <v>93.09</v>
      </c>
      <c r="D274" s="2">
        <v>108.41</v>
      </c>
      <c r="E274" s="2">
        <v>165.85</v>
      </c>
      <c r="F274" s="2">
        <v>11.63</v>
      </c>
      <c r="G274">
        <v>1</v>
      </c>
      <c r="H274">
        <v>2</v>
      </c>
      <c r="I274">
        <v>5</v>
      </c>
      <c r="J274">
        <v>0</v>
      </c>
      <c r="K274">
        <v>0</v>
      </c>
      <c r="L274">
        <v>2</v>
      </c>
      <c r="M274" s="1">
        <f t="shared" si="32"/>
        <v>-0.56493901014160863</v>
      </c>
      <c r="N274" s="1">
        <f t="shared" si="33"/>
        <v>-0.49334018787680523</v>
      </c>
      <c r="O274" s="1">
        <f t="shared" si="34"/>
        <v>-0.22489133990746368</v>
      </c>
      <c r="P274">
        <f t="shared" si="35"/>
        <v>232</v>
      </c>
      <c r="Q274">
        <f t="shared" si="36"/>
        <v>264</v>
      </c>
      <c r="R274">
        <f t="shared" si="37"/>
        <v>329</v>
      </c>
      <c r="S274">
        <f t="shared" si="38"/>
        <v>825</v>
      </c>
      <c r="T274">
        <f t="shared" si="39"/>
        <v>272</v>
      </c>
      <c r="U274" s="1" cm="1">
        <f t="array" ref="U274">MIN(ABS(M274:O274))</f>
        <v>0.22489133990746368</v>
      </c>
    </row>
    <row r="275" spans="1:21" x14ac:dyDescent="0.35">
      <c r="A275" t="s">
        <v>283</v>
      </c>
      <c r="B275" s="2">
        <v>48.4</v>
      </c>
      <c r="C275" s="2">
        <v>18.2</v>
      </c>
      <c r="D275" s="2">
        <v>24.17</v>
      </c>
      <c r="E275" s="2">
        <v>44.7</v>
      </c>
      <c r="F275" s="2">
        <v>9.85</v>
      </c>
      <c r="G275">
        <v>1</v>
      </c>
      <c r="H275">
        <v>4</v>
      </c>
      <c r="I275">
        <v>8</v>
      </c>
      <c r="J275">
        <v>0</v>
      </c>
      <c r="K275">
        <v>1</v>
      </c>
      <c r="L275">
        <v>2</v>
      </c>
      <c r="M275" s="1">
        <f t="shared" si="32"/>
        <v>-0.62396694214876036</v>
      </c>
      <c r="N275" s="1">
        <f t="shared" si="33"/>
        <v>-0.50061983471074378</v>
      </c>
      <c r="O275" s="1">
        <f t="shared" si="34"/>
        <v>-7.6446280991735449E-2</v>
      </c>
      <c r="P275">
        <f t="shared" si="35"/>
        <v>277</v>
      </c>
      <c r="Q275">
        <f t="shared" si="36"/>
        <v>267</v>
      </c>
      <c r="R275">
        <f t="shared" si="37"/>
        <v>281</v>
      </c>
      <c r="S275">
        <f t="shared" si="38"/>
        <v>825</v>
      </c>
      <c r="T275">
        <f t="shared" si="39"/>
        <v>272</v>
      </c>
      <c r="U275" s="1" cm="1">
        <f t="array" ref="U275">MIN(ABS(M275:O275))</f>
        <v>7.6446280991735449E-2</v>
      </c>
    </row>
    <row r="276" spans="1:21" x14ac:dyDescent="0.35">
      <c r="A276" t="s">
        <v>285</v>
      </c>
      <c r="B276" s="2">
        <v>15.29</v>
      </c>
      <c r="C276" s="2">
        <v>5.91</v>
      </c>
      <c r="D276" s="2">
        <v>7.54</v>
      </c>
      <c r="E276" s="2">
        <v>13.8</v>
      </c>
      <c r="F276" s="2">
        <v>12.81</v>
      </c>
      <c r="G276">
        <v>1</v>
      </c>
      <c r="H276">
        <v>3</v>
      </c>
      <c r="I276">
        <v>6</v>
      </c>
      <c r="J276">
        <v>0</v>
      </c>
      <c r="K276">
        <v>0</v>
      </c>
      <c r="L276">
        <v>2</v>
      </c>
      <c r="M276" s="1">
        <f t="shared" si="32"/>
        <v>-0.61347285807717467</v>
      </c>
      <c r="N276" s="1">
        <f t="shared" si="33"/>
        <v>-0.50686723348593854</v>
      </c>
      <c r="O276" s="1">
        <f t="shared" si="34"/>
        <v>-9.7449313276651295E-2</v>
      </c>
      <c r="P276">
        <f t="shared" si="35"/>
        <v>267</v>
      </c>
      <c r="Q276">
        <f t="shared" si="36"/>
        <v>269</v>
      </c>
      <c r="R276">
        <f t="shared" si="37"/>
        <v>289</v>
      </c>
      <c r="S276">
        <f t="shared" si="38"/>
        <v>825</v>
      </c>
      <c r="T276">
        <f t="shared" si="39"/>
        <v>272</v>
      </c>
      <c r="U276" s="1" cm="1">
        <f t="array" ref="U276">MIN(ABS(M276:O276))</f>
        <v>9.7449313276651295E-2</v>
      </c>
    </row>
    <row r="277" spans="1:21" x14ac:dyDescent="0.35">
      <c r="A277" t="s">
        <v>282</v>
      </c>
      <c r="B277" s="2">
        <v>259.91000000000003</v>
      </c>
      <c r="C277" s="2">
        <v>98.99</v>
      </c>
      <c r="D277" s="2">
        <v>130.19</v>
      </c>
      <c r="E277" s="2">
        <v>231.94</v>
      </c>
      <c r="F277" s="2">
        <v>10.24</v>
      </c>
      <c r="G277">
        <v>1</v>
      </c>
      <c r="H277">
        <v>4</v>
      </c>
      <c r="I277">
        <v>7</v>
      </c>
      <c r="J277">
        <v>0</v>
      </c>
      <c r="K277">
        <v>0</v>
      </c>
      <c r="L277">
        <v>2</v>
      </c>
      <c r="M277" s="1">
        <f t="shared" si="32"/>
        <v>-0.61913739371320853</v>
      </c>
      <c r="N277" s="1">
        <f t="shared" si="33"/>
        <v>-0.49909584086799286</v>
      </c>
      <c r="O277" s="1">
        <f t="shared" si="34"/>
        <v>-0.10761417413720142</v>
      </c>
      <c r="P277">
        <f t="shared" si="35"/>
        <v>269</v>
      </c>
      <c r="Q277">
        <f t="shared" si="36"/>
        <v>266</v>
      </c>
      <c r="R277">
        <f t="shared" si="37"/>
        <v>296</v>
      </c>
      <c r="S277">
        <f t="shared" si="38"/>
        <v>831</v>
      </c>
      <c r="T277">
        <f t="shared" si="39"/>
        <v>276</v>
      </c>
      <c r="U277" s="1" cm="1">
        <f t="array" ref="U277">MIN(ABS(M277:O277))</f>
        <v>0.10761417413720142</v>
      </c>
    </row>
    <row r="278" spans="1:21" x14ac:dyDescent="0.35">
      <c r="A278" t="s">
        <v>306</v>
      </c>
      <c r="B278" s="2">
        <v>259.27</v>
      </c>
      <c r="C278" s="2">
        <v>74.37</v>
      </c>
      <c r="D278" s="2">
        <v>116.24</v>
      </c>
      <c r="E278" s="2">
        <v>330.31</v>
      </c>
      <c r="F278" s="2">
        <v>12.25</v>
      </c>
      <c r="G278">
        <v>1</v>
      </c>
      <c r="H278">
        <v>6</v>
      </c>
      <c r="I278">
        <v>10</v>
      </c>
      <c r="J278">
        <v>0</v>
      </c>
      <c r="K278">
        <v>0</v>
      </c>
      <c r="L278">
        <v>2</v>
      </c>
      <c r="M278" s="1">
        <f t="shared" si="32"/>
        <v>-0.71315616924441705</v>
      </c>
      <c r="N278" s="1">
        <f t="shared" si="33"/>
        <v>-0.55166428819377478</v>
      </c>
      <c r="O278" s="1">
        <f t="shared" si="34"/>
        <v>0.27400007713966135</v>
      </c>
      <c r="P278">
        <f t="shared" si="35"/>
        <v>344</v>
      </c>
      <c r="Q278">
        <f t="shared" si="36"/>
        <v>291</v>
      </c>
      <c r="R278">
        <f t="shared" si="37"/>
        <v>208</v>
      </c>
      <c r="S278">
        <f t="shared" si="38"/>
        <v>843</v>
      </c>
      <c r="T278">
        <f t="shared" si="39"/>
        <v>277</v>
      </c>
      <c r="U278" s="1" cm="1">
        <f t="array" ref="U278">MIN(ABS(M278:O278))</f>
        <v>0.27400007713966135</v>
      </c>
    </row>
    <row r="279" spans="1:21" x14ac:dyDescent="0.35">
      <c r="A279" t="s">
        <v>292</v>
      </c>
      <c r="B279" s="2">
        <v>18.989999999999998</v>
      </c>
      <c r="C279" s="2">
        <v>8.35</v>
      </c>
      <c r="D279" s="2">
        <v>9.0399999999999991</v>
      </c>
      <c r="E279" s="2">
        <v>13.91</v>
      </c>
      <c r="F279" s="2">
        <v>12.2</v>
      </c>
      <c r="G279">
        <v>0</v>
      </c>
      <c r="H279">
        <v>1</v>
      </c>
      <c r="I279">
        <v>5</v>
      </c>
      <c r="J279">
        <v>0</v>
      </c>
      <c r="K279">
        <v>0</v>
      </c>
      <c r="L279">
        <v>2</v>
      </c>
      <c r="M279" s="1">
        <f t="shared" si="32"/>
        <v>-0.56029489204844651</v>
      </c>
      <c r="N279" s="1">
        <f t="shared" si="33"/>
        <v>-0.52395997893628232</v>
      </c>
      <c r="O279" s="1">
        <f t="shared" si="34"/>
        <v>-0.26750921537651384</v>
      </c>
      <c r="P279">
        <f t="shared" si="35"/>
        <v>228</v>
      </c>
      <c r="Q279">
        <f t="shared" si="36"/>
        <v>277</v>
      </c>
      <c r="R279">
        <f t="shared" si="37"/>
        <v>339</v>
      </c>
      <c r="S279">
        <f t="shared" si="38"/>
        <v>844</v>
      </c>
      <c r="T279">
        <f t="shared" si="39"/>
        <v>278</v>
      </c>
      <c r="U279" s="1" cm="1">
        <f t="array" ref="U279">MIN(ABS(M279:O279))</f>
        <v>0.26750921537651384</v>
      </c>
    </row>
    <row r="280" spans="1:21" x14ac:dyDescent="0.35">
      <c r="A280" t="s">
        <v>308</v>
      </c>
      <c r="B280" s="2">
        <v>55.42</v>
      </c>
      <c r="C280" s="2">
        <v>20.81</v>
      </c>
      <c r="D280" s="2">
        <v>24.7</v>
      </c>
      <c r="E280" s="2">
        <v>52.33</v>
      </c>
      <c r="F280" s="2">
        <v>13.4</v>
      </c>
      <c r="G280">
        <v>0</v>
      </c>
      <c r="H280">
        <v>1</v>
      </c>
      <c r="I280">
        <v>5</v>
      </c>
      <c r="J280">
        <v>0</v>
      </c>
      <c r="K280">
        <v>0</v>
      </c>
      <c r="L280">
        <v>2</v>
      </c>
      <c r="M280" s="1">
        <f t="shared" si="32"/>
        <v>-0.62450378924575967</v>
      </c>
      <c r="N280" s="1">
        <f t="shared" si="33"/>
        <v>-0.55431252255503427</v>
      </c>
      <c r="O280" s="1">
        <f t="shared" si="34"/>
        <v>-5.575604474918805E-2</v>
      </c>
      <c r="P280">
        <f t="shared" si="35"/>
        <v>279</v>
      </c>
      <c r="Q280">
        <f t="shared" si="36"/>
        <v>293</v>
      </c>
      <c r="R280">
        <f t="shared" si="37"/>
        <v>276</v>
      </c>
      <c r="S280">
        <f t="shared" si="38"/>
        <v>848</v>
      </c>
      <c r="T280">
        <f t="shared" si="39"/>
        <v>279</v>
      </c>
      <c r="U280" s="1" cm="1">
        <f t="array" ref="U280">MIN(ABS(M280:O280))</f>
        <v>5.575604474918805E-2</v>
      </c>
    </row>
    <row r="281" spans="1:21" x14ac:dyDescent="0.35">
      <c r="A281" t="s">
        <v>298</v>
      </c>
      <c r="B281" s="2">
        <v>92.5</v>
      </c>
      <c r="C281" s="2">
        <v>29.13</v>
      </c>
      <c r="D281" s="2">
        <v>43</v>
      </c>
      <c r="E281" s="2">
        <v>100.19</v>
      </c>
      <c r="F281" s="2">
        <v>11.7</v>
      </c>
      <c r="G281">
        <v>1</v>
      </c>
      <c r="H281">
        <v>5</v>
      </c>
      <c r="I281">
        <v>10</v>
      </c>
      <c r="J281">
        <v>0</v>
      </c>
      <c r="K281">
        <v>0</v>
      </c>
      <c r="L281">
        <v>2</v>
      </c>
      <c r="M281" s="1">
        <f t="shared" si="32"/>
        <v>-0.68508108108108101</v>
      </c>
      <c r="N281" s="1">
        <f t="shared" si="33"/>
        <v>-0.53513513513513511</v>
      </c>
      <c r="O281" s="1">
        <f t="shared" si="34"/>
        <v>8.3135135135135041E-2</v>
      </c>
      <c r="P281">
        <f t="shared" si="35"/>
        <v>323</v>
      </c>
      <c r="Q281">
        <f t="shared" si="36"/>
        <v>283</v>
      </c>
      <c r="R281">
        <f t="shared" si="37"/>
        <v>244</v>
      </c>
      <c r="S281">
        <f t="shared" si="38"/>
        <v>850</v>
      </c>
      <c r="T281">
        <f t="shared" si="39"/>
        <v>280</v>
      </c>
      <c r="U281" s="1" cm="1">
        <f t="array" ref="U281">MIN(ABS(M281:O281))</f>
        <v>8.3135135135135041E-2</v>
      </c>
    </row>
    <row r="282" spans="1:21" x14ac:dyDescent="0.35">
      <c r="A282" t="s">
        <v>289</v>
      </c>
      <c r="B282" s="2">
        <v>47.15</v>
      </c>
      <c r="C282" s="2">
        <v>19.05</v>
      </c>
      <c r="D282" s="2">
        <v>22.95</v>
      </c>
      <c r="E282" s="2">
        <v>36.71</v>
      </c>
      <c r="F282" s="2">
        <v>12.24</v>
      </c>
      <c r="G282">
        <v>1</v>
      </c>
      <c r="H282">
        <v>3</v>
      </c>
      <c r="I282">
        <v>5</v>
      </c>
      <c r="J282">
        <v>0</v>
      </c>
      <c r="K282">
        <v>1</v>
      </c>
      <c r="L282">
        <v>2</v>
      </c>
      <c r="M282" s="1">
        <f t="shared" si="32"/>
        <v>-0.59597030752916225</v>
      </c>
      <c r="N282" s="1">
        <f t="shared" si="33"/>
        <v>-0.51325556733828215</v>
      </c>
      <c r="O282" s="1">
        <f t="shared" si="34"/>
        <v>-0.22142099681866378</v>
      </c>
      <c r="P282">
        <f t="shared" si="35"/>
        <v>253</v>
      </c>
      <c r="Q282">
        <f t="shared" si="36"/>
        <v>274</v>
      </c>
      <c r="R282">
        <f t="shared" si="37"/>
        <v>328</v>
      </c>
      <c r="S282">
        <f t="shared" si="38"/>
        <v>855</v>
      </c>
      <c r="T282">
        <f t="shared" si="39"/>
        <v>281</v>
      </c>
      <c r="U282" s="1" cm="1">
        <f t="array" ref="U282">MIN(ABS(M282:O282))</f>
        <v>0.22142099681866378</v>
      </c>
    </row>
    <row r="283" spans="1:21" x14ac:dyDescent="0.35">
      <c r="A283" t="s">
        <v>321</v>
      </c>
      <c r="B283" s="2">
        <v>156.72</v>
      </c>
      <c r="C283" s="2">
        <v>63.56</v>
      </c>
      <c r="D283" s="2">
        <v>66.62</v>
      </c>
      <c r="E283" s="2">
        <v>139.26</v>
      </c>
      <c r="F283" s="2">
        <v>12.38</v>
      </c>
      <c r="G283">
        <v>-3</v>
      </c>
      <c r="H283">
        <v>1</v>
      </c>
      <c r="I283">
        <v>5</v>
      </c>
      <c r="J283">
        <v>0</v>
      </c>
      <c r="K283">
        <v>0</v>
      </c>
      <c r="L283">
        <v>2</v>
      </c>
      <c r="M283" s="1">
        <f t="shared" si="32"/>
        <v>-0.59443593670239925</v>
      </c>
      <c r="N283" s="1">
        <f t="shared" si="33"/>
        <v>-0.57491066870852481</v>
      </c>
      <c r="O283" s="1">
        <f t="shared" si="34"/>
        <v>-0.11140888208269528</v>
      </c>
      <c r="P283">
        <f t="shared" si="35"/>
        <v>252</v>
      </c>
      <c r="Q283">
        <f t="shared" si="36"/>
        <v>306</v>
      </c>
      <c r="R283">
        <f t="shared" si="37"/>
        <v>297</v>
      </c>
      <c r="S283">
        <f t="shared" si="38"/>
        <v>855</v>
      </c>
      <c r="T283">
        <f t="shared" si="39"/>
        <v>281</v>
      </c>
      <c r="U283" s="1" cm="1">
        <f t="array" ref="U283">MIN(ABS(M283:O283))</f>
        <v>0.11140888208269528</v>
      </c>
    </row>
    <row r="284" spans="1:21" x14ac:dyDescent="0.35">
      <c r="A284" t="s">
        <v>324</v>
      </c>
      <c r="B284" s="2">
        <v>118.68</v>
      </c>
      <c r="C284" s="2">
        <v>25.41</v>
      </c>
      <c r="D284" s="2">
        <v>50.33</v>
      </c>
      <c r="E284" s="2">
        <v>220.11</v>
      </c>
      <c r="F284" s="2">
        <v>10.6</v>
      </c>
      <c r="G284">
        <v>2</v>
      </c>
      <c r="H284">
        <v>10</v>
      </c>
      <c r="I284">
        <v>17</v>
      </c>
      <c r="J284">
        <v>0</v>
      </c>
      <c r="K284">
        <v>0</v>
      </c>
      <c r="L284">
        <v>2</v>
      </c>
      <c r="M284" s="1">
        <f t="shared" si="32"/>
        <v>-0.78589484327603643</v>
      </c>
      <c r="N284" s="1">
        <f t="shared" si="33"/>
        <v>-0.57591843613077187</v>
      </c>
      <c r="O284" s="1">
        <f t="shared" si="34"/>
        <v>0.85465116279069764</v>
      </c>
      <c r="P284">
        <f t="shared" si="35"/>
        <v>399</v>
      </c>
      <c r="Q284">
        <f t="shared" si="36"/>
        <v>309</v>
      </c>
      <c r="R284">
        <f t="shared" si="37"/>
        <v>147</v>
      </c>
      <c r="S284">
        <f t="shared" si="38"/>
        <v>855</v>
      </c>
      <c r="T284">
        <f t="shared" si="39"/>
        <v>281</v>
      </c>
      <c r="U284" s="1" cm="1">
        <f t="array" ref="U284">MIN(ABS(M284:O284))</f>
        <v>0.57591843613077187</v>
      </c>
    </row>
    <row r="285" spans="1:21" x14ac:dyDescent="0.35">
      <c r="A285" t="s">
        <v>290</v>
      </c>
      <c r="B285" s="2">
        <v>165.21</v>
      </c>
      <c r="C285" s="2">
        <v>63.94</v>
      </c>
      <c r="D285" s="2">
        <v>80.19</v>
      </c>
      <c r="E285" s="2">
        <v>132.30000000000001</v>
      </c>
      <c r="F285" s="2">
        <v>10.5</v>
      </c>
      <c r="G285">
        <v>1</v>
      </c>
      <c r="H285">
        <v>3</v>
      </c>
      <c r="I285">
        <v>5</v>
      </c>
      <c r="J285">
        <v>0</v>
      </c>
      <c r="K285">
        <v>1</v>
      </c>
      <c r="L285">
        <v>2</v>
      </c>
      <c r="M285" s="1">
        <f t="shared" si="32"/>
        <v>-0.61297742267417232</v>
      </c>
      <c r="N285" s="1">
        <f t="shared" si="33"/>
        <v>-0.51461775921554387</v>
      </c>
      <c r="O285" s="1">
        <f t="shared" si="34"/>
        <v>-0.19920101688759762</v>
      </c>
      <c r="P285">
        <f t="shared" si="35"/>
        <v>266</v>
      </c>
      <c r="Q285">
        <f t="shared" si="36"/>
        <v>275</v>
      </c>
      <c r="R285">
        <f t="shared" si="37"/>
        <v>319</v>
      </c>
      <c r="S285">
        <f t="shared" si="38"/>
        <v>860</v>
      </c>
      <c r="T285">
        <f t="shared" si="39"/>
        <v>284</v>
      </c>
      <c r="U285" s="1" cm="1">
        <f t="array" ref="U285">MIN(ABS(M285:O285))</f>
        <v>0.19920101688759762</v>
      </c>
    </row>
    <row r="286" spans="1:21" x14ac:dyDescent="0.35">
      <c r="A286" t="s">
        <v>332</v>
      </c>
      <c r="B286" s="2">
        <v>28.25</v>
      </c>
      <c r="C286" s="2">
        <v>5.58</v>
      </c>
      <c r="D286" s="2">
        <v>11.74</v>
      </c>
      <c r="E286" s="2">
        <v>54.78</v>
      </c>
      <c r="F286" s="2">
        <v>10.68</v>
      </c>
      <c r="G286">
        <v>2</v>
      </c>
      <c r="H286">
        <v>10</v>
      </c>
      <c r="I286">
        <v>18</v>
      </c>
      <c r="J286">
        <v>0</v>
      </c>
      <c r="K286">
        <v>0</v>
      </c>
      <c r="L286">
        <v>2</v>
      </c>
      <c r="M286" s="1">
        <f t="shared" si="32"/>
        <v>-0.8024778761061947</v>
      </c>
      <c r="N286" s="1">
        <f t="shared" si="33"/>
        <v>-0.58442477876106191</v>
      </c>
      <c r="O286" s="1">
        <f t="shared" si="34"/>
        <v>0.93911504424778758</v>
      </c>
      <c r="P286">
        <f t="shared" si="35"/>
        <v>409</v>
      </c>
      <c r="Q286">
        <f t="shared" si="36"/>
        <v>317</v>
      </c>
      <c r="R286">
        <f t="shared" si="37"/>
        <v>135</v>
      </c>
      <c r="S286">
        <f t="shared" si="38"/>
        <v>861</v>
      </c>
      <c r="T286">
        <f t="shared" si="39"/>
        <v>285</v>
      </c>
      <c r="U286" s="1" cm="1">
        <f t="array" ref="U286">MIN(ABS(M286:O286))</f>
        <v>0.58442477876106191</v>
      </c>
    </row>
    <row r="287" spans="1:21" x14ac:dyDescent="0.35">
      <c r="A287" t="s">
        <v>299</v>
      </c>
      <c r="B287" s="2">
        <v>138.5</v>
      </c>
      <c r="C287" s="2">
        <v>44.63</v>
      </c>
      <c r="D287" s="2">
        <v>63.81</v>
      </c>
      <c r="E287" s="2">
        <v>137.33000000000001</v>
      </c>
      <c r="F287" s="2">
        <v>12.27</v>
      </c>
      <c r="G287">
        <v>1</v>
      </c>
      <c r="H287">
        <v>5</v>
      </c>
      <c r="I287">
        <v>9</v>
      </c>
      <c r="J287">
        <v>0</v>
      </c>
      <c r="K287">
        <v>0</v>
      </c>
      <c r="L287">
        <v>2</v>
      </c>
      <c r="M287" s="1">
        <f t="shared" si="32"/>
        <v>-0.6777617328519856</v>
      </c>
      <c r="N287" s="1">
        <f t="shared" si="33"/>
        <v>-0.53927797833935021</v>
      </c>
      <c r="O287" s="1">
        <f t="shared" si="34"/>
        <v>-8.4476534296028527E-3</v>
      </c>
      <c r="P287">
        <f t="shared" si="35"/>
        <v>315</v>
      </c>
      <c r="Q287">
        <f t="shared" si="36"/>
        <v>284</v>
      </c>
      <c r="R287">
        <f t="shared" si="37"/>
        <v>264</v>
      </c>
      <c r="S287">
        <f t="shared" si="38"/>
        <v>863</v>
      </c>
      <c r="T287">
        <f t="shared" si="39"/>
        <v>286</v>
      </c>
      <c r="U287" s="1" cm="1">
        <f t="array" ref="U287">MIN(ABS(M287:O287))</f>
        <v>8.4476534296028527E-3</v>
      </c>
    </row>
    <row r="288" spans="1:21" x14ac:dyDescent="0.35">
      <c r="A288" t="s">
        <v>294</v>
      </c>
      <c r="B288" s="2">
        <v>92.32</v>
      </c>
      <c r="C288" s="2">
        <v>38.81</v>
      </c>
      <c r="D288" s="2">
        <v>43.46</v>
      </c>
      <c r="E288" s="2">
        <v>64.94</v>
      </c>
      <c r="F288" s="2">
        <v>12</v>
      </c>
      <c r="G288">
        <v>0</v>
      </c>
      <c r="H288">
        <v>2</v>
      </c>
      <c r="I288">
        <v>5</v>
      </c>
      <c r="J288">
        <v>0</v>
      </c>
      <c r="K288">
        <v>0</v>
      </c>
      <c r="L288">
        <v>2</v>
      </c>
      <c r="M288" s="1">
        <f t="shared" si="32"/>
        <v>-0.57961438474870008</v>
      </c>
      <c r="N288" s="1">
        <f t="shared" si="33"/>
        <v>-0.52924610051993071</v>
      </c>
      <c r="O288" s="1">
        <f t="shared" si="34"/>
        <v>-0.29657712305025996</v>
      </c>
      <c r="P288">
        <f t="shared" si="35"/>
        <v>240</v>
      </c>
      <c r="Q288">
        <f t="shared" si="36"/>
        <v>279</v>
      </c>
      <c r="R288">
        <f t="shared" si="37"/>
        <v>350</v>
      </c>
      <c r="S288">
        <f t="shared" si="38"/>
        <v>869</v>
      </c>
      <c r="T288">
        <f t="shared" si="39"/>
        <v>287</v>
      </c>
      <c r="U288" s="1" cm="1">
        <f t="array" ref="U288">MIN(ABS(M288:O288))</f>
        <v>0.29657712305025996</v>
      </c>
    </row>
    <row r="289" spans="1:21" x14ac:dyDescent="0.35">
      <c r="A289" t="s">
        <v>296</v>
      </c>
      <c r="B289" s="2">
        <v>240.38</v>
      </c>
      <c r="C289" s="2">
        <v>97.85</v>
      </c>
      <c r="D289" s="2">
        <v>112.39</v>
      </c>
      <c r="E289" s="2">
        <v>175.93</v>
      </c>
      <c r="F289" s="2">
        <v>11.86</v>
      </c>
      <c r="G289">
        <v>0</v>
      </c>
      <c r="H289">
        <v>2</v>
      </c>
      <c r="I289">
        <v>5</v>
      </c>
      <c r="J289">
        <v>0</v>
      </c>
      <c r="K289">
        <v>0</v>
      </c>
      <c r="L289">
        <v>2</v>
      </c>
      <c r="M289" s="1">
        <f t="shared" si="32"/>
        <v>-0.59293618437474005</v>
      </c>
      <c r="N289" s="1">
        <f t="shared" si="33"/>
        <v>-0.53244862301356188</v>
      </c>
      <c r="O289" s="1">
        <f t="shared" si="34"/>
        <v>-0.26811714784923868</v>
      </c>
      <c r="P289">
        <f t="shared" si="35"/>
        <v>250</v>
      </c>
      <c r="Q289">
        <f t="shared" si="36"/>
        <v>281</v>
      </c>
      <c r="R289">
        <f t="shared" si="37"/>
        <v>340</v>
      </c>
      <c r="S289">
        <f t="shared" si="38"/>
        <v>871</v>
      </c>
      <c r="T289">
        <f t="shared" si="39"/>
        <v>288</v>
      </c>
      <c r="U289" s="1" cm="1">
        <f t="array" ref="U289">MIN(ABS(M289:O289))</f>
        <v>0.26811714784923868</v>
      </c>
    </row>
    <row r="290" spans="1:21" x14ac:dyDescent="0.35">
      <c r="A290" t="s">
        <v>305</v>
      </c>
      <c r="B290" s="2">
        <v>27.58</v>
      </c>
      <c r="C290" s="2">
        <v>12.18</v>
      </c>
      <c r="D290" s="2">
        <v>12.47</v>
      </c>
      <c r="E290" s="2">
        <v>19.13</v>
      </c>
      <c r="F290" s="2">
        <v>11.64</v>
      </c>
      <c r="G290">
        <v>-1</v>
      </c>
      <c r="H290">
        <v>1</v>
      </c>
      <c r="I290">
        <v>5</v>
      </c>
      <c r="J290">
        <v>0</v>
      </c>
      <c r="K290">
        <v>0</v>
      </c>
      <c r="L290">
        <v>2</v>
      </c>
      <c r="M290" s="1">
        <f t="shared" si="32"/>
        <v>-0.55837563451776651</v>
      </c>
      <c r="N290" s="1">
        <f t="shared" si="33"/>
        <v>-0.5478607686729513</v>
      </c>
      <c r="O290" s="1">
        <f t="shared" si="34"/>
        <v>-0.30638143582306021</v>
      </c>
      <c r="P290">
        <f t="shared" si="35"/>
        <v>226</v>
      </c>
      <c r="Q290">
        <f t="shared" si="36"/>
        <v>290</v>
      </c>
      <c r="R290">
        <f t="shared" si="37"/>
        <v>355</v>
      </c>
      <c r="S290">
        <f t="shared" si="38"/>
        <v>871</v>
      </c>
      <c r="T290">
        <f t="shared" si="39"/>
        <v>288</v>
      </c>
      <c r="U290" s="1" cm="1">
        <f t="array" ref="U290">MIN(ABS(M290:O290))</f>
        <v>0.30638143582306021</v>
      </c>
    </row>
    <row r="291" spans="1:21" x14ac:dyDescent="0.35">
      <c r="A291" t="s">
        <v>297</v>
      </c>
      <c r="B291" s="2">
        <v>416.44</v>
      </c>
      <c r="C291" s="2">
        <v>161.56</v>
      </c>
      <c r="D291" s="2">
        <v>194.25</v>
      </c>
      <c r="E291" s="2">
        <v>320.60000000000002</v>
      </c>
      <c r="F291" s="2">
        <v>10.48</v>
      </c>
      <c r="G291">
        <v>0</v>
      </c>
      <c r="H291">
        <v>2</v>
      </c>
      <c r="I291">
        <v>5</v>
      </c>
      <c r="J291">
        <v>0</v>
      </c>
      <c r="K291">
        <v>1</v>
      </c>
      <c r="L291">
        <v>2</v>
      </c>
      <c r="M291" s="1">
        <f t="shared" si="32"/>
        <v>-0.61204495245413504</v>
      </c>
      <c r="N291" s="1">
        <f t="shared" si="33"/>
        <v>-0.53354624915954285</v>
      </c>
      <c r="O291" s="1">
        <f t="shared" si="34"/>
        <v>-0.23014119681106515</v>
      </c>
      <c r="P291">
        <f t="shared" si="35"/>
        <v>265</v>
      </c>
      <c r="Q291">
        <f t="shared" si="36"/>
        <v>282</v>
      </c>
      <c r="R291">
        <f t="shared" si="37"/>
        <v>331</v>
      </c>
      <c r="S291">
        <f t="shared" si="38"/>
        <v>878</v>
      </c>
      <c r="T291">
        <f t="shared" si="39"/>
        <v>290</v>
      </c>
      <c r="U291" s="1" cm="1">
        <f t="array" ref="U291">MIN(ABS(M291:O291))</f>
        <v>0.23014119681106515</v>
      </c>
    </row>
    <row r="292" spans="1:21" x14ac:dyDescent="0.35">
      <c r="A292" t="s">
        <v>300</v>
      </c>
      <c r="B292" s="2">
        <v>158.29</v>
      </c>
      <c r="C292" s="2">
        <v>67.27</v>
      </c>
      <c r="D292" s="2">
        <v>72.55</v>
      </c>
      <c r="E292" s="2">
        <v>109.72</v>
      </c>
      <c r="F292" s="2">
        <v>10.97</v>
      </c>
      <c r="G292">
        <v>0</v>
      </c>
      <c r="H292">
        <v>1</v>
      </c>
      <c r="I292">
        <v>5</v>
      </c>
      <c r="J292">
        <v>0</v>
      </c>
      <c r="K292">
        <v>1</v>
      </c>
      <c r="L292">
        <v>2</v>
      </c>
      <c r="M292" s="1">
        <f t="shared" si="32"/>
        <v>-0.57502053193505587</v>
      </c>
      <c r="N292" s="1">
        <f t="shared" si="33"/>
        <v>-0.54166403436730048</v>
      </c>
      <c r="O292" s="1">
        <f t="shared" si="34"/>
        <v>-0.30684187251247708</v>
      </c>
      <c r="P292">
        <f t="shared" si="35"/>
        <v>238</v>
      </c>
      <c r="Q292">
        <f t="shared" si="36"/>
        <v>285</v>
      </c>
      <c r="R292">
        <f t="shared" si="37"/>
        <v>356</v>
      </c>
      <c r="S292">
        <f t="shared" si="38"/>
        <v>879</v>
      </c>
      <c r="T292">
        <f t="shared" si="39"/>
        <v>291</v>
      </c>
      <c r="U292" s="1" cm="1">
        <f t="array" ref="U292">MIN(ABS(M292:O292))</f>
        <v>0.30684187251247708</v>
      </c>
    </row>
    <row r="293" spans="1:21" x14ac:dyDescent="0.35">
      <c r="A293" t="s">
        <v>330</v>
      </c>
      <c r="B293" s="2">
        <v>336.42</v>
      </c>
      <c r="C293" s="2">
        <v>74.34</v>
      </c>
      <c r="D293" s="2">
        <v>140.26</v>
      </c>
      <c r="E293" s="2">
        <v>537.55999999999995</v>
      </c>
      <c r="F293" s="2">
        <v>11.82</v>
      </c>
      <c r="G293">
        <v>2</v>
      </c>
      <c r="H293">
        <v>8</v>
      </c>
      <c r="I293">
        <v>15</v>
      </c>
      <c r="J293">
        <v>0</v>
      </c>
      <c r="K293">
        <v>0</v>
      </c>
      <c r="L293">
        <v>2</v>
      </c>
      <c r="M293" s="1">
        <f t="shared" si="32"/>
        <v>-0.77902621722846443</v>
      </c>
      <c r="N293" s="1">
        <f t="shared" si="33"/>
        <v>-0.58308067296831345</v>
      </c>
      <c r="O293" s="1">
        <f t="shared" si="34"/>
        <v>0.59788359788359768</v>
      </c>
      <c r="P293">
        <f t="shared" si="35"/>
        <v>394</v>
      </c>
      <c r="Q293">
        <f t="shared" si="36"/>
        <v>315</v>
      </c>
      <c r="R293">
        <f t="shared" si="37"/>
        <v>170</v>
      </c>
      <c r="S293">
        <f t="shared" si="38"/>
        <v>879</v>
      </c>
      <c r="T293">
        <f t="shared" si="39"/>
        <v>291</v>
      </c>
      <c r="U293" s="1" cm="1">
        <f t="array" ref="U293">MIN(ABS(M293:O293))</f>
        <v>0.58308067296831345</v>
      </c>
    </row>
    <row r="294" spans="1:21" x14ac:dyDescent="0.35">
      <c r="A294" t="s">
        <v>309</v>
      </c>
      <c r="B294" s="2">
        <v>269.02999999999997</v>
      </c>
      <c r="C294" s="2">
        <v>115.24</v>
      </c>
      <c r="D294" s="2">
        <v>119.78</v>
      </c>
      <c r="E294" s="2">
        <v>188.94</v>
      </c>
      <c r="F294" s="2">
        <v>10.26</v>
      </c>
      <c r="G294">
        <v>-2</v>
      </c>
      <c r="H294">
        <v>1</v>
      </c>
      <c r="I294">
        <v>5</v>
      </c>
      <c r="J294">
        <v>0</v>
      </c>
      <c r="K294">
        <v>1</v>
      </c>
      <c r="L294">
        <v>2</v>
      </c>
      <c r="M294" s="1">
        <f t="shared" si="32"/>
        <v>-0.57164628480095159</v>
      </c>
      <c r="N294" s="1">
        <f t="shared" si="33"/>
        <v>-0.5547708434003642</v>
      </c>
      <c r="O294" s="1">
        <f t="shared" si="34"/>
        <v>-0.29769914135969955</v>
      </c>
      <c r="P294">
        <f t="shared" si="35"/>
        <v>234</v>
      </c>
      <c r="Q294">
        <f t="shared" si="36"/>
        <v>294</v>
      </c>
      <c r="R294">
        <f t="shared" si="37"/>
        <v>352</v>
      </c>
      <c r="S294">
        <f t="shared" si="38"/>
        <v>880</v>
      </c>
      <c r="T294">
        <f t="shared" si="39"/>
        <v>293</v>
      </c>
      <c r="U294" s="1" cm="1">
        <f t="array" ref="U294">MIN(ABS(M294:O294))</f>
        <v>0.29769914135969955</v>
      </c>
    </row>
    <row r="295" spans="1:21" x14ac:dyDescent="0.35">
      <c r="A295" t="s">
        <v>353</v>
      </c>
      <c r="B295" s="2">
        <v>35.979999999999997</v>
      </c>
      <c r="C295" s="2">
        <v>7.76</v>
      </c>
      <c r="D295" s="2">
        <v>13.85</v>
      </c>
      <c r="E295" s="2">
        <v>66.12</v>
      </c>
      <c r="F295" s="2">
        <v>11.36</v>
      </c>
      <c r="G295">
        <v>2</v>
      </c>
      <c r="H295">
        <v>10</v>
      </c>
      <c r="I295">
        <v>18</v>
      </c>
      <c r="J295">
        <v>0</v>
      </c>
      <c r="K295">
        <v>0</v>
      </c>
      <c r="L295">
        <v>2</v>
      </c>
      <c r="M295" s="1">
        <f t="shared" si="32"/>
        <v>-0.78432462479155085</v>
      </c>
      <c r="N295" s="1">
        <f t="shared" si="33"/>
        <v>-0.61506392440244584</v>
      </c>
      <c r="O295" s="1">
        <f t="shared" si="34"/>
        <v>0.83768760422456956</v>
      </c>
      <c r="P295">
        <f t="shared" si="35"/>
        <v>397</v>
      </c>
      <c r="Q295">
        <f t="shared" si="36"/>
        <v>338</v>
      </c>
      <c r="R295">
        <f t="shared" si="37"/>
        <v>149</v>
      </c>
      <c r="S295">
        <f t="shared" si="38"/>
        <v>884</v>
      </c>
      <c r="T295">
        <f t="shared" si="39"/>
        <v>294</v>
      </c>
      <c r="U295" s="1" cm="1">
        <f t="array" ref="U295">MIN(ABS(M295:O295))</f>
        <v>0.61506392440244584</v>
      </c>
    </row>
    <row r="296" spans="1:21" x14ac:dyDescent="0.35">
      <c r="A296" t="s">
        <v>295</v>
      </c>
      <c r="B296" s="2">
        <v>135.11000000000001</v>
      </c>
      <c r="C296" s="2">
        <v>53.05</v>
      </c>
      <c r="D296" s="2">
        <v>63.3</v>
      </c>
      <c r="E296" s="2">
        <v>97.04</v>
      </c>
      <c r="F296" s="2">
        <v>10.48</v>
      </c>
      <c r="G296">
        <v>1</v>
      </c>
      <c r="H296">
        <v>2</v>
      </c>
      <c r="I296">
        <v>5</v>
      </c>
      <c r="J296">
        <v>0</v>
      </c>
      <c r="K296">
        <v>1</v>
      </c>
      <c r="L296">
        <v>2</v>
      </c>
      <c r="M296" s="1">
        <f t="shared" si="32"/>
        <v>-0.60735696839612174</v>
      </c>
      <c r="N296" s="1">
        <f t="shared" si="33"/>
        <v>-0.53149285767152699</v>
      </c>
      <c r="O296" s="1">
        <f t="shared" si="34"/>
        <v>-0.28177040929612907</v>
      </c>
      <c r="P296">
        <f t="shared" si="35"/>
        <v>263</v>
      </c>
      <c r="Q296">
        <f t="shared" si="36"/>
        <v>280</v>
      </c>
      <c r="R296">
        <f t="shared" si="37"/>
        <v>344</v>
      </c>
      <c r="S296">
        <f t="shared" si="38"/>
        <v>887</v>
      </c>
      <c r="T296">
        <f t="shared" si="39"/>
        <v>295</v>
      </c>
      <c r="U296" s="1" cm="1">
        <f t="array" ref="U296">MIN(ABS(M296:O296))</f>
        <v>0.28177040929612907</v>
      </c>
    </row>
    <row r="297" spans="1:21" x14ac:dyDescent="0.35">
      <c r="A297" t="s">
        <v>311</v>
      </c>
      <c r="B297" s="2">
        <v>211.61</v>
      </c>
      <c r="C297" s="2">
        <v>86.02</v>
      </c>
      <c r="D297" s="2">
        <v>93.54</v>
      </c>
      <c r="E297" s="2">
        <v>153.97999999999999</v>
      </c>
      <c r="F297" s="2">
        <v>12.13</v>
      </c>
      <c r="G297">
        <v>0</v>
      </c>
      <c r="H297">
        <v>1</v>
      </c>
      <c r="I297">
        <v>5</v>
      </c>
      <c r="J297">
        <v>0</v>
      </c>
      <c r="K297">
        <v>1</v>
      </c>
      <c r="L297">
        <v>2</v>
      </c>
      <c r="M297" s="1">
        <f t="shared" si="32"/>
        <v>-0.5934974717640944</v>
      </c>
      <c r="N297" s="1">
        <f t="shared" si="33"/>
        <v>-0.55796039884693538</v>
      </c>
      <c r="O297" s="1">
        <f t="shared" si="34"/>
        <v>-0.27234062662445069</v>
      </c>
      <c r="P297">
        <f t="shared" si="35"/>
        <v>251</v>
      </c>
      <c r="Q297">
        <f t="shared" si="36"/>
        <v>296</v>
      </c>
      <c r="R297">
        <f t="shared" si="37"/>
        <v>343</v>
      </c>
      <c r="S297">
        <f t="shared" si="38"/>
        <v>890</v>
      </c>
      <c r="T297">
        <f t="shared" si="39"/>
        <v>296</v>
      </c>
      <c r="U297" s="1" cm="1">
        <f t="array" ref="U297">MIN(ABS(M297:O297))</f>
        <v>0.27234062662445069</v>
      </c>
    </row>
    <row r="298" spans="1:21" x14ac:dyDescent="0.35">
      <c r="A298" t="s">
        <v>301</v>
      </c>
      <c r="B298" s="2">
        <v>153.57</v>
      </c>
      <c r="C298" s="2">
        <v>65</v>
      </c>
      <c r="D298" s="2">
        <v>70.05</v>
      </c>
      <c r="E298" s="2">
        <v>100.98</v>
      </c>
      <c r="F298" s="2">
        <v>11.21</v>
      </c>
      <c r="G298">
        <v>0</v>
      </c>
      <c r="H298">
        <v>1</v>
      </c>
      <c r="I298">
        <v>5</v>
      </c>
      <c r="J298">
        <v>0</v>
      </c>
      <c r="K298">
        <v>1</v>
      </c>
      <c r="L298">
        <v>2</v>
      </c>
      <c r="M298" s="1">
        <f t="shared" si="32"/>
        <v>-0.57674024874649987</v>
      </c>
      <c r="N298" s="1">
        <f t="shared" si="33"/>
        <v>-0.54385622191834337</v>
      </c>
      <c r="O298" s="1">
        <f t="shared" si="34"/>
        <v>-0.34244969720648555</v>
      </c>
      <c r="P298">
        <f t="shared" si="35"/>
        <v>239</v>
      </c>
      <c r="Q298">
        <f t="shared" si="36"/>
        <v>286</v>
      </c>
      <c r="R298">
        <f t="shared" si="37"/>
        <v>367</v>
      </c>
      <c r="S298">
        <f t="shared" si="38"/>
        <v>892</v>
      </c>
      <c r="T298">
        <f t="shared" si="39"/>
        <v>297</v>
      </c>
      <c r="U298" s="1" cm="1">
        <f t="array" ref="U298">MIN(ABS(M298:O298))</f>
        <v>0.34244969720648555</v>
      </c>
    </row>
    <row r="299" spans="1:21" x14ac:dyDescent="0.35">
      <c r="A299" t="s">
        <v>326</v>
      </c>
      <c r="B299" s="2">
        <v>662.25</v>
      </c>
      <c r="C299" s="2">
        <v>168.06</v>
      </c>
      <c r="D299" s="2">
        <v>280.02</v>
      </c>
      <c r="E299" s="2">
        <v>828.87</v>
      </c>
      <c r="F299" s="2">
        <v>10.35</v>
      </c>
      <c r="G299">
        <v>2</v>
      </c>
      <c r="H299">
        <v>7</v>
      </c>
      <c r="I299">
        <v>13</v>
      </c>
      <c r="J299">
        <v>0</v>
      </c>
      <c r="K299">
        <v>1</v>
      </c>
      <c r="L299">
        <v>2</v>
      </c>
      <c r="M299" s="1">
        <f t="shared" si="32"/>
        <v>-0.74622876557191398</v>
      </c>
      <c r="N299" s="1">
        <f t="shared" si="33"/>
        <v>-0.57716874292185727</v>
      </c>
      <c r="O299" s="1">
        <f t="shared" si="34"/>
        <v>0.25159682899207247</v>
      </c>
      <c r="P299">
        <f t="shared" si="35"/>
        <v>373</v>
      </c>
      <c r="Q299">
        <f t="shared" si="36"/>
        <v>311</v>
      </c>
      <c r="R299">
        <f t="shared" si="37"/>
        <v>211</v>
      </c>
      <c r="S299">
        <f t="shared" si="38"/>
        <v>895</v>
      </c>
      <c r="T299">
        <f t="shared" si="39"/>
        <v>298</v>
      </c>
      <c r="U299" s="1" cm="1">
        <f t="array" ref="U299">MIN(ABS(M299:O299))</f>
        <v>0.25159682899207247</v>
      </c>
    </row>
    <row r="300" spans="1:21" x14ac:dyDescent="0.35">
      <c r="A300" t="s">
        <v>310</v>
      </c>
      <c r="B300" s="2">
        <v>113.39</v>
      </c>
      <c r="C300" s="2">
        <v>46.29</v>
      </c>
      <c r="D300" s="2">
        <v>50.45</v>
      </c>
      <c r="E300" s="2">
        <v>78.2</v>
      </c>
      <c r="F300" s="2">
        <v>12.46</v>
      </c>
      <c r="G300">
        <v>0</v>
      </c>
      <c r="H300">
        <v>1</v>
      </c>
      <c r="I300">
        <v>5</v>
      </c>
      <c r="J300">
        <v>0</v>
      </c>
      <c r="K300">
        <v>0</v>
      </c>
      <c r="L300">
        <v>2</v>
      </c>
      <c r="M300" s="1">
        <f t="shared" si="32"/>
        <v>-0.59176294205838254</v>
      </c>
      <c r="N300" s="1">
        <f t="shared" si="33"/>
        <v>-0.55507540347473316</v>
      </c>
      <c r="O300" s="1">
        <f t="shared" si="34"/>
        <v>-0.31034482758620685</v>
      </c>
      <c r="P300">
        <f t="shared" si="35"/>
        <v>249</v>
      </c>
      <c r="Q300">
        <f t="shared" si="36"/>
        <v>295</v>
      </c>
      <c r="R300">
        <f t="shared" si="37"/>
        <v>358</v>
      </c>
      <c r="S300">
        <f t="shared" si="38"/>
        <v>902</v>
      </c>
      <c r="T300">
        <f t="shared" si="39"/>
        <v>299</v>
      </c>
      <c r="U300" s="1" cm="1">
        <f t="array" ref="U300">MIN(ABS(M300:O300))</f>
        <v>0.31034482758620685</v>
      </c>
    </row>
    <row r="301" spans="1:21" x14ac:dyDescent="0.35">
      <c r="A301" t="s">
        <v>307</v>
      </c>
      <c r="B301" s="2">
        <v>183.87</v>
      </c>
      <c r="C301" s="2">
        <v>74.19</v>
      </c>
      <c r="D301" s="2">
        <v>82.04</v>
      </c>
      <c r="E301" s="2">
        <v>127.16</v>
      </c>
      <c r="F301" s="2">
        <v>12.51</v>
      </c>
      <c r="G301">
        <v>0</v>
      </c>
      <c r="H301">
        <v>1</v>
      </c>
      <c r="I301">
        <v>5</v>
      </c>
      <c r="J301">
        <v>0</v>
      </c>
      <c r="K301">
        <v>0</v>
      </c>
      <c r="L301">
        <v>2</v>
      </c>
      <c r="M301" s="1">
        <f t="shared" si="32"/>
        <v>-0.59650840267580363</v>
      </c>
      <c r="N301" s="1">
        <f t="shared" si="33"/>
        <v>-0.55381519551857283</v>
      </c>
      <c r="O301" s="1">
        <f t="shared" si="34"/>
        <v>-0.30842443030401923</v>
      </c>
      <c r="P301">
        <f t="shared" si="35"/>
        <v>255</v>
      </c>
      <c r="Q301">
        <f t="shared" si="36"/>
        <v>292</v>
      </c>
      <c r="R301">
        <f t="shared" si="37"/>
        <v>357</v>
      </c>
      <c r="S301">
        <f t="shared" si="38"/>
        <v>904</v>
      </c>
      <c r="T301">
        <f t="shared" si="39"/>
        <v>300</v>
      </c>
      <c r="U301" s="1" cm="1">
        <f t="array" ref="U301">MIN(ABS(M301:O301))</f>
        <v>0.30842443030401923</v>
      </c>
    </row>
    <row r="302" spans="1:21" x14ac:dyDescent="0.35">
      <c r="A302" t="s">
        <v>320</v>
      </c>
      <c r="B302" s="2">
        <v>48.94</v>
      </c>
      <c r="C302" s="2">
        <v>19.61</v>
      </c>
      <c r="D302" s="2">
        <v>20.81</v>
      </c>
      <c r="E302" s="2">
        <v>35.76</v>
      </c>
      <c r="F302" s="2">
        <v>11.69</v>
      </c>
      <c r="G302">
        <v>-2</v>
      </c>
      <c r="H302">
        <v>1</v>
      </c>
      <c r="I302">
        <v>5</v>
      </c>
      <c r="J302">
        <v>0</v>
      </c>
      <c r="K302">
        <v>1</v>
      </c>
      <c r="L302">
        <v>2</v>
      </c>
      <c r="M302" s="1">
        <f t="shared" si="32"/>
        <v>-0.59930527176134041</v>
      </c>
      <c r="N302" s="1">
        <f t="shared" si="33"/>
        <v>-0.57478545157335514</v>
      </c>
      <c r="O302" s="1">
        <f t="shared" si="34"/>
        <v>-0.26930935839803838</v>
      </c>
      <c r="P302">
        <f t="shared" si="35"/>
        <v>257</v>
      </c>
      <c r="Q302">
        <f t="shared" si="36"/>
        <v>305</v>
      </c>
      <c r="R302">
        <f t="shared" si="37"/>
        <v>342</v>
      </c>
      <c r="S302">
        <f t="shared" si="38"/>
        <v>904</v>
      </c>
      <c r="T302">
        <f t="shared" si="39"/>
        <v>300</v>
      </c>
      <c r="U302" s="1" cm="1">
        <f t="array" ref="U302">MIN(ABS(M302:O302))</f>
        <v>0.26930935839803838</v>
      </c>
    </row>
    <row r="303" spans="1:21" x14ac:dyDescent="0.35">
      <c r="A303" t="s">
        <v>336</v>
      </c>
      <c r="B303" s="2">
        <v>46.31</v>
      </c>
      <c r="C303" s="2">
        <v>19.37</v>
      </c>
      <c r="D303" s="2">
        <v>18.93</v>
      </c>
      <c r="E303" s="2">
        <v>33.19</v>
      </c>
      <c r="F303" s="2">
        <v>12.17</v>
      </c>
      <c r="G303">
        <v>-3</v>
      </c>
      <c r="H303">
        <v>1</v>
      </c>
      <c r="I303">
        <v>5</v>
      </c>
      <c r="J303">
        <v>0</v>
      </c>
      <c r="K303">
        <v>0</v>
      </c>
      <c r="L303">
        <v>2</v>
      </c>
      <c r="M303" s="1">
        <f t="shared" si="32"/>
        <v>-0.58173180738501395</v>
      </c>
      <c r="N303" s="1">
        <f t="shared" si="33"/>
        <v>-0.59123299503347004</v>
      </c>
      <c r="O303" s="1">
        <f t="shared" si="34"/>
        <v>-0.28330814079032618</v>
      </c>
      <c r="P303">
        <f t="shared" si="35"/>
        <v>241</v>
      </c>
      <c r="Q303">
        <f t="shared" si="36"/>
        <v>321</v>
      </c>
      <c r="R303">
        <f t="shared" si="37"/>
        <v>345</v>
      </c>
      <c r="S303">
        <f t="shared" si="38"/>
        <v>907</v>
      </c>
      <c r="T303">
        <f t="shared" si="39"/>
        <v>302</v>
      </c>
      <c r="U303" s="1" cm="1">
        <f t="array" ref="U303">MIN(ABS(M303:O303))</f>
        <v>0.28330814079032618</v>
      </c>
    </row>
    <row r="304" spans="1:21" x14ac:dyDescent="0.35">
      <c r="A304" t="s">
        <v>303</v>
      </c>
      <c r="B304" s="2">
        <v>262.42</v>
      </c>
      <c r="C304" s="2">
        <v>99.29</v>
      </c>
      <c r="D304" s="2">
        <v>119.19</v>
      </c>
      <c r="E304" s="2">
        <v>185.39</v>
      </c>
      <c r="F304" s="2">
        <v>10.29</v>
      </c>
      <c r="G304">
        <v>1</v>
      </c>
      <c r="H304">
        <v>2</v>
      </c>
      <c r="I304">
        <v>5</v>
      </c>
      <c r="J304">
        <v>0</v>
      </c>
      <c r="K304">
        <v>1</v>
      </c>
      <c r="L304">
        <v>2</v>
      </c>
      <c r="M304" s="1">
        <f t="shared" si="32"/>
        <v>-0.62163707034524807</v>
      </c>
      <c r="N304" s="1">
        <f t="shared" si="33"/>
        <v>-0.54580443563752767</v>
      </c>
      <c r="O304" s="1">
        <f t="shared" si="34"/>
        <v>-0.29353707796661854</v>
      </c>
      <c r="P304">
        <f t="shared" si="35"/>
        <v>272</v>
      </c>
      <c r="Q304">
        <f t="shared" si="36"/>
        <v>288</v>
      </c>
      <c r="R304">
        <f t="shared" si="37"/>
        <v>348</v>
      </c>
      <c r="S304">
        <f t="shared" si="38"/>
        <v>908</v>
      </c>
      <c r="T304">
        <f t="shared" si="39"/>
        <v>303</v>
      </c>
      <c r="U304" s="1" cm="1">
        <f t="array" ref="U304">MIN(ABS(M304:O304))</f>
        <v>0.29353707796661854</v>
      </c>
    </row>
    <row r="305" spans="1:21" x14ac:dyDescent="0.35">
      <c r="A305" t="s">
        <v>313</v>
      </c>
      <c r="B305" s="2">
        <v>75.510000000000005</v>
      </c>
      <c r="C305" s="2">
        <v>31.26</v>
      </c>
      <c r="D305" s="2">
        <v>33.11</v>
      </c>
      <c r="E305" s="2">
        <v>49.27</v>
      </c>
      <c r="F305" s="2">
        <v>11.83</v>
      </c>
      <c r="G305">
        <v>-1</v>
      </c>
      <c r="H305">
        <v>1</v>
      </c>
      <c r="I305">
        <v>5</v>
      </c>
      <c r="J305">
        <v>0</v>
      </c>
      <c r="K305">
        <v>1</v>
      </c>
      <c r="L305">
        <v>2</v>
      </c>
      <c r="M305" s="1">
        <f t="shared" si="32"/>
        <v>-0.58601509733810087</v>
      </c>
      <c r="N305" s="1">
        <f t="shared" si="33"/>
        <v>-0.56151503112170575</v>
      </c>
      <c r="O305" s="1">
        <f t="shared" si="34"/>
        <v>-0.34750364190173488</v>
      </c>
      <c r="P305">
        <f t="shared" si="35"/>
        <v>244</v>
      </c>
      <c r="Q305">
        <f t="shared" si="36"/>
        <v>298</v>
      </c>
      <c r="R305">
        <f t="shared" si="37"/>
        <v>368</v>
      </c>
      <c r="S305">
        <f t="shared" si="38"/>
        <v>910</v>
      </c>
      <c r="T305">
        <f t="shared" si="39"/>
        <v>304</v>
      </c>
      <c r="U305" s="1" cm="1">
        <f t="array" ref="U305">MIN(ABS(M305:O305))</f>
        <v>0.34750364190173488</v>
      </c>
    </row>
    <row r="306" spans="1:21" x14ac:dyDescent="0.35">
      <c r="A306" t="s">
        <v>354</v>
      </c>
      <c r="B306" s="2">
        <v>147.15</v>
      </c>
      <c r="C306" s="2">
        <v>24.96</v>
      </c>
      <c r="D306" s="2">
        <v>56.55</v>
      </c>
      <c r="E306" s="2">
        <v>283.43</v>
      </c>
      <c r="F306" s="2">
        <v>12.03</v>
      </c>
      <c r="G306">
        <v>2</v>
      </c>
      <c r="H306">
        <v>10</v>
      </c>
      <c r="I306">
        <v>18</v>
      </c>
      <c r="J306">
        <v>0</v>
      </c>
      <c r="K306">
        <v>0</v>
      </c>
      <c r="L306">
        <v>2</v>
      </c>
      <c r="M306" s="1">
        <f t="shared" si="32"/>
        <v>-0.83037716615698265</v>
      </c>
      <c r="N306" s="1">
        <f t="shared" si="33"/>
        <v>-0.61569826707441389</v>
      </c>
      <c r="O306" s="1">
        <f t="shared" si="34"/>
        <v>0.92612979952429497</v>
      </c>
      <c r="P306">
        <f t="shared" si="35"/>
        <v>433</v>
      </c>
      <c r="Q306">
        <f t="shared" si="36"/>
        <v>339</v>
      </c>
      <c r="R306">
        <f t="shared" si="37"/>
        <v>138</v>
      </c>
      <c r="S306">
        <f t="shared" si="38"/>
        <v>910</v>
      </c>
      <c r="T306">
        <f t="shared" si="39"/>
        <v>304</v>
      </c>
      <c r="U306" s="1" cm="1">
        <f t="array" ref="U306">MIN(ABS(M306:O306))</f>
        <v>0.61569826707441389</v>
      </c>
    </row>
    <row r="307" spans="1:21" x14ac:dyDescent="0.35">
      <c r="A307" t="s">
        <v>323</v>
      </c>
      <c r="B307" s="2">
        <v>238.68</v>
      </c>
      <c r="C307" s="2">
        <v>79.5</v>
      </c>
      <c r="D307" s="2">
        <v>101.44</v>
      </c>
      <c r="E307" s="2">
        <v>207.63</v>
      </c>
      <c r="F307" s="2">
        <v>13.34</v>
      </c>
      <c r="G307">
        <v>1</v>
      </c>
      <c r="H307">
        <v>3</v>
      </c>
      <c r="I307">
        <v>6</v>
      </c>
      <c r="J307">
        <v>0</v>
      </c>
      <c r="K307">
        <v>0</v>
      </c>
      <c r="L307">
        <v>2</v>
      </c>
      <c r="M307" s="1">
        <f t="shared" si="32"/>
        <v>-0.66691804927099052</v>
      </c>
      <c r="N307" s="1">
        <f t="shared" si="33"/>
        <v>-0.57499581028992797</v>
      </c>
      <c r="O307" s="1">
        <f t="shared" si="34"/>
        <v>-0.13009049773755665</v>
      </c>
      <c r="P307">
        <f t="shared" si="35"/>
        <v>302</v>
      </c>
      <c r="Q307">
        <f t="shared" si="36"/>
        <v>308</v>
      </c>
      <c r="R307">
        <f t="shared" si="37"/>
        <v>301</v>
      </c>
      <c r="S307">
        <f t="shared" si="38"/>
        <v>911</v>
      </c>
      <c r="T307">
        <f t="shared" si="39"/>
        <v>306</v>
      </c>
      <c r="U307" s="1" cm="1">
        <f t="array" ref="U307">MIN(ABS(M307:O307))</f>
        <v>0.13009049773755665</v>
      </c>
    </row>
    <row r="308" spans="1:21" x14ac:dyDescent="0.35">
      <c r="A308" t="s">
        <v>340</v>
      </c>
      <c r="B308" s="2">
        <v>134.84</v>
      </c>
      <c r="C308" s="2">
        <v>31.4</v>
      </c>
      <c r="D308" s="2">
        <v>54.45</v>
      </c>
      <c r="E308" s="2">
        <v>177.71</v>
      </c>
      <c r="F308" s="2">
        <v>10.75</v>
      </c>
      <c r="G308">
        <v>2</v>
      </c>
      <c r="H308">
        <v>8</v>
      </c>
      <c r="I308">
        <v>13</v>
      </c>
      <c r="J308">
        <v>0</v>
      </c>
      <c r="K308">
        <v>1</v>
      </c>
      <c r="L308">
        <v>2</v>
      </c>
      <c r="M308" s="1">
        <f t="shared" si="32"/>
        <v>-0.76713141501038273</v>
      </c>
      <c r="N308" s="1">
        <f t="shared" si="33"/>
        <v>-0.59618807475526547</v>
      </c>
      <c r="O308" s="1">
        <f t="shared" si="34"/>
        <v>0.31793236428359539</v>
      </c>
      <c r="P308">
        <f t="shared" si="35"/>
        <v>388</v>
      </c>
      <c r="Q308">
        <f t="shared" si="36"/>
        <v>325</v>
      </c>
      <c r="R308">
        <f t="shared" si="37"/>
        <v>201</v>
      </c>
      <c r="S308">
        <f t="shared" si="38"/>
        <v>914</v>
      </c>
      <c r="T308">
        <f t="shared" si="39"/>
        <v>307</v>
      </c>
      <c r="U308" s="1" cm="1">
        <f t="array" ref="U308">MIN(ABS(M308:O308))</f>
        <v>0.31793236428359539</v>
      </c>
    </row>
    <row r="309" spans="1:21" x14ac:dyDescent="0.35">
      <c r="A309" t="s">
        <v>322</v>
      </c>
      <c r="B309" s="2">
        <v>615.86</v>
      </c>
      <c r="C309" s="2">
        <v>269.64999999999998</v>
      </c>
      <c r="D309" s="2">
        <v>261.77</v>
      </c>
      <c r="E309" s="2">
        <v>386.2</v>
      </c>
      <c r="F309" s="2">
        <v>11.45</v>
      </c>
      <c r="G309">
        <v>-3</v>
      </c>
      <c r="H309">
        <v>1</v>
      </c>
      <c r="I309">
        <v>5</v>
      </c>
      <c r="J309">
        <v>0</v>
      </c>
      <c r="K309">
        <v>0</v>
      </c>
      <c r="L309">
        <v>2</v>
      </c>
      <c r="M309" s="1">
        <f t="shared" si="32"/>
        <v>-0.56215698373006862</v>
      </c>
      <c r="N309" s="1">
        <f t="shared" si="33"/>
        <v>-0.57495209950313386</v>
      </c>
      <c r="O309" s="1">
        <f t="shared" si="34"/>
        <v>-0.37290942746728151</v>
      </c>
      <c r="P309">
        <f t="shared" si="35"/>
        <v>230</v>
      </c>
      <c r="Q309">
        <f t="shared" si="36"/>
        <v>307</v>
      </c>
      <c r="R309">
        <f t="shared" si="37"/>
        <v>380</v>
      </c>
      <c r="S309">
        <f t="shared" si="38"/>
        <v>917</v>
      </c>
      <c r="T309">
        <f t="shared" si="39"/>
        <v>308</v>
      </c>
      <c r="U309" s="1" cm="1">
        <f t="array" ref="U309">MIN(ABS(M309:O309))</f>
        <v>0.37290942746728151</v>
      </c>
    </row>
    <row r="310" spans="1:21" x14ac:dyDescent="0.35">
      <c r="A310" t="s">
        <v>328</v>
      </c>
      <c r="B310" s="2">
        <v>425.37</v>
      </c>
      <c r="C310" s="2">
        <v>182.11</v>
      </c>
      <c r="D310" s="2">
        <v>179.56</v>
      </c>
      <c r="E310" s="2">
        <v>270.64</v>
      </c>
      <c r="F310" s="2">
        <v>11.19</v>
      </c>
      <c r="G310">
        <v>-3</v>
      </c>
      <c r="H310">
        <v>1</v>
      </c>
      <c r="I310">
        <v>5</v>
      </c>
      <c r="J310">
        <v>0</v>
      </c>
      <c r="K310">
        <v>1</v>
      </c>
      <c r="L310">
        <v>2</v>
      </c>
      <c r="M310" s="1">
        <f t="shared" si="32"/>
        <v>-0.57187859980722666</v>
      </c>
      <c r="N310" s="1">
        <f t="shared" si="33"/>
        <v>-0.57787338082140249</v>
      </c>
      <c r="O310" s="1">
        <f t="shared" si="34"/>
        <v>-0.36375390836213184</v>
      </c>
      <c r="P310">
        <f t="shared" si="35"/>
        <v>235</v>
      </c>
      <c r="Q310">
        <f t="shared" si="36"/>
        <v>313</v>
      </c>
      <c r="R310">
        <f t="shared" si="37"/>
        <v>375</v>
      </c>
      <c r="S310">
        <f t="shared" si="38"/>
        <v>923</v>
      </c>
      <c r="T310">
        <f t="shared" si="39"/>
        <v>309</v>
      </c>
      <c r="U310" s="1" cm="1">
        <f t="array" ref="U310">MIN(ABS(M310:O310))</f>
        <v>0.36375390836213184</v>
      </c>
    </row>
    <row r="311" spans="1:21" x14ac:dyDescent="0.35">
      <c r="A311" t="s">
        <v>304</v>
      </c>
      <c r="B311" s="2">
        <v>37.53</v>
      </c>
      <c r="C311" s="2">
        <v>16.43</v>
      </c>
      <c r="D311" s="2">
        <v>16.989999999999998</v>
      </c>
      <c r="E311" s="2">
        <v>20.22</v>
      </c>
      <c r="F311" s="2">
        <v>11.13</v>
      </c>
      <c r="G311">
        <v>-3</v>
      </c>
      <c r="H311">
        <v>1</v>
      </c>
      <c r="I311">
        <v>5</v>
      </c>
      <c r="J311">
        <v>1</v>
      </c>
      <c r="K311">
        <v>2</v>
      </c>
      <c r="L311">
        <v>4</v>
      </c>
      <c r="M311" s="1">
        <f t="shared" si="32"/>
        <v>-0.56221689315214496</v>
      </c>
      <c r="N311" s="1">
        <f t="shared" si="33"/>
        <v>-0.54729549693578483</v>
      </c>
      <c r="O311" s="1">
        <f t="shared" si="34"/>
        <v>-0.46123101518784981</v>
      </c>
      <c r="P311">
        <f t="shared" si="35"/>
        <v>231</v>
      </c>
      <c r="Q311">
        <f t="shared" si="36"/>
        <v>289</v>
      </c>
      <c r="R311">
        <f t="shared" si="37"/>
        <v>404</v>
      </c>
      <c r="S311">
        <f t="shared" si="38"/>
        <v>924</v>
      </c>
      <c r="T311">
        <f t="shared" si="39"/>
        <v>310</v>
      </c>
      <c r="U311" s="1" cm="1">
        <f t="array" ref="U311">MIN(ABS(M311:O311))</f>
        <v>0.46123101518784981</v>
      </c>
    </row>
    <row r="312" spans="1:21" x14ac:dyDescent="0.35">
      <c r="A312" t="s">
        <v>315</v>
      </c>
      <c r="B312" s="2">
        <v>579.87</v>
      </c>
      <c r="C312" s="2">
        <v>217.87</v>
      </c>
      <c r="D312" s="2">
        <v>253.79</v>
      </c>
      <c r="E312" s="2">
        <v>412.18</v>
      </c>
      <c r="F312" s="2">
        <v>11.95</v>
      </c>
      <c r="G312">
        <v>0</v>
      </c>
      <c r="H312">
        <v>2</v>
      </c>
      <c r="I312">
        <v>5</v>
      </c>
      <c r="J312">
        <v>0</v>
      </c>
      <c r="K312">
        <v>0</v>
      </c>
      <c r="L312">
        <v>2</v>
      </c>
      <c r="M312" s="1">
        <f t="shared" si="32"/>
        <v>-0.62427785538137859</v>
      </c>
      <c r="N312" s="1">
        <f t="shared" si="33"/>
        <v>-0.56233293669270701</v>
      </c>
      <c r="O312" s="1">
        <f t="shared" si="34"/>
        <v>-0.2891855070964181</v>
      </c>
      <c r="P312">
        <f t="shared" si="35"/>
        <v>278</v>
      </c>
      <c r="Q312">
        <f t="shared" si="36"/>
        <v>300</v>
      </c>
      <c r="R312">
        <f t="shared" si="37"/>
        <v>346</v>
      </c>
      <c r="S312">
        <f t="shared" si="38"/>
        <v>924</v>
      </c>
      <c r="T312">
        <f t="shared" si="39"/>
        <v>310</v>
      </c>
      <c r="U312" s="1" cm="1">
        <f t="array" ref="U312">MIN(ABS(M312:O312))</f>
        <v>0.2891855070964181</v>
      </c>
    </row>
    <row r="313" spans="1:21" x14ac:dyDescent="0.35">
      <c r="A313" t="s">
        <v>347</v>
      </c>
      <c r="B313" s="2">
        <v>49.17</v>
      </c>
      <c r="C313" s="2">
        <v>15.63</v>
      </c>
      <c r="D313" s="2">
        <v>19.329999999999998</v>
      </c>
      <c r="E313" s="2">
        <v>47.58</v>
      </c>
      <c r="F313" s="2">
        <v>13.22</v>
      </c>
      <c r="G313">
        <v>0</v>
      </c>
      <c r="H313">
        <v>1</v>
      </c>
      <c r="I313">
        <v>5</v>
      </c>
      <c r="J313">
        <v>0</v>
      </c>
      <c r="K313">
        <v>0</v>
      </c>
      <c r="L313">
        <v>2</v>
      </c>
      <c r="M313" s="1">
        <f t="shared" si="32"/>
        <v>-0.68212324588163509</v>
      </c>
      <c r="N313" s="1">
        <f t="shared" si="33"/>
        <v>-0.60687411022981497</v>
      </c>
      <c r="O313" s="1">
        <f t="shared" si="34"/>
        <v>-3.2336790726052556E-2</v>
      </c>
      <c r="P313">
        <f t="shared" si="35"/>
        <v>321</v>
      </c>
      <c r="Q313">
        <f t="shared" si="36"/>
        <v>332</v>
      </c>
      <c r="R313">
        <f t="shared" si="37"/>
        <v>271</v>
      </c>
      <c r="S313">
        <f t="shared" si="38"/>
        <v>924</v>
      </c>
      <c r="T313">
        <f t="shared" si="39"/>
        <v>310</v>
      </c>
      <c r="U313" s="1" cm="1">
        <f t="array" ref="U313">MIN(ABS(M313:O313))</f>
        <v>3.2336790726052556E-2</v>
      </c>
    </row>
    <row r="314" spans="1:21" x14ac:dyDescent="0.35">
      <c r="A314" t="s">
        <v>318</v>
      </c>
      <c r="B314" s="2">
        <v>306.75</v>
      </c>
      <c r="C314" s="2">
        <v>122.26</v>
      </c>
      <c r="D314" s="2">
        <v>132.49</v>
      </c>
      <c r="E314" s="2">
        <v>199.37</v>
      </c>
      <c r="F314" s="2">
        <v>10.16</v>
      </c>
      <c r="G314">
        <v>0</v>
      </c>
      <c r="H314">
        <v>1</v>
      </c>
      <c r="I314">
        <v>5</v>
      </c>
      <c r="J314">
        <v>0</v>
      </c>
      <c r="K314">
        <v>1</v>
      </c>
      <c r="L314">
        <v>2</v>
      </c>
      <c r="M314" s="1">
        <f t="shared" si="32"/>
        <v>-0.6014343928280359</v>
      </c>
      <c r="N314" s="1">
        <f t="shared" si="33"/>
        <v>-0.56808475957620208</v>
      </c>
      <c r="O314" s="1">
        <f t="shared" si="34"/>
        <v>-0.35005704971475138</v>
      </c>
      <c r="P314">
        <f t="shared" si="35"/>
        <v>258</v>
      </c>
      <c r="Q314">
        <f t="shared" si="36"/>
        <v>303</v>
      </c>
      <c r="R314">
        <f t="shared" si="37"/>
        <v>369</v>
      </c>
      <c r="S314">
        <f t="shared" si="38"/>
        <v>930</v>
      </c>
      <c r="T314">
        <f t="shared" si="39"/>
        <v>313</v>
      </c>
      <c r="U314" s="1" cm="1">
        <f t="array" ref="U314">MIN(ABS(M314:O314))</f>
        <v>0.35005704971475138</v>
      </c>
    </row>
    <row r="315" spans="1:21" x14ac:dyDescent="0.35">
      <c r="A315" t="s">
        <v>364</v>
      </c>
      <c r="B315" s="2">
        <v>285.91000000000003</v>
      </c>
      <c r="C315" s="2">
        <v>45.29</v>
      </c>
      <c r="D315" s="2">
        <v>103</v>
      </c>
      <c r="E315" s="2">
        <v>548.84</v>
      </c>
      <c r="F315" s="2">
        <v>6.03</v>
      </c>
      <c r="G315">
        <v>2</v>
      </c>
      <c r="H315">
        <v>10</v>
      </c>
      <c r="I315">
        <v>18</v>
      </c>
      <c r="J315">
        <v>1</v>
      </c>
      <c r="K315">
        <v>5</v>
      </c>
      <c r="L315">
        <v>9</v>
      </c>
      <c r="M315" s="1">
        <f t="shared" si="32"/>
        <v>-0.84159350844671399</v>
      </c>
      <c r="N315" s="1">
        <f t="shared" si="33"/>
        <v>-0.63974677346017983</v>
      </c>
      <c r="O315" s="1">
        <f t="shared" si="34"/>
        <v>0.91962505683606732</v>
      </c>
      <c r="P315">
        <f t="shared" si="35"/>
        <v>442</v>
      </c>
      <c r="Q315">
        <f t="shared" si="36"/>
        <v>349</v>
      </c>
      <c r="R315">
        <f t="shared" si="37"/>
        <v>139</v>
      </c>
      <c r="S315">
        <f t="shared" si="38"/>
        <v>930</v>
      </c>
      <c r="T315">
        <f t="shared" si="39"/>
        <v>313</v>
      </c>
      <c r="U315" s="1" cm="1">
        <f t="array" ref="U315">MIN(ABS(M315:O315))</f>
        <v>0.63974677346017983</v>
      </c>
    </row>
    <row r="316" spans="1:21" x14ac:dyDescent="0.35">
      <c r="A316" t="s">
        <v>316</v>
      </c>
      <c r="B316" s="2">
        <v>81.010000000000005</v>
      </c>
      <c r="C316" s="2">
        <v>27.46</v>
      </c>
      <c r="D316" s="2">
        <v>35.340000000000003</v>
      </c>
      <c r="E316" s="2">
        <v>62.18</v>
      </c>
      <c r="F316" s="2">
        <v>11.4</v>
      </c>
      <c r="G316">
        <v>1</v>
      </c>
      <c r="H316">
        <v>4</v>
      </c>
      <c r="I316">
        <v>7</v>
      </c>
      <c r="J316">
        <v>0</v>
      </c>
      <c r="K316">
        <v>0</v>
      </c>
      <c r="L316">
        <v>2</v>
      </c>
      <c r="M316" s="1">
        <f t="shared" si="32"/>
        <v>-0.66102950253055182</v>
      </c>
      <c r="N316" s="1">
        <f t="shared" si="33"/>
        <v>-0.56375756079496364</v>
      </c>
      <c r="O316" s="1">
        <f t="shared" si="34"/>
        <v>-0.23244043945191961</v>
      </c>
      <c r="P316">
        <f t="shared" si="35"/>
        <v>297</v>
      </c>
      <c r="Q316">
        <f t="shared" si="36"/>
        <v>301</v>
      </c>
      <c r="R316">
        <f t="shared" si="37"/>
        <v>333</v>
      </c>
      <c r="S316">
        <f t="shared" si="38"/>
        <v>931</v>
      </c>
      <c r="T316">
        <f t="shared" si="39"/>
        <v>315</v>
      </c>
      <c r="U316" s="1" cm="1">
        <f t="array" ref="U316">MIN(ABS(M316:O316))</f>
        <v>0.23244043945191961</v>
      </c>
    </row>
    <row r="317" spans="1:21" x14ac:dyDescent="0.35">
      <c r="A317" t="s">
        <v>317</v>
      </c>
      <c r="B317" s="2">
        <v>189.59</v>
      </c>
      <c r="C317" s="2">
        <v>64.13</v>
      </c>
      <c r="D317" s="2">
        <v>82.28</v>
      </c>
      <c r="E317" s="2">
        <v>145.94</v>
      </c>
      <c r="F317" s="2">
        <v>11.89</v>
      </c>
      <c r="G317">
        <v>1</v>
      </c>
      <c r="H317">
        <v>3</v>
      </c>
      <c r="I317">
        <v>6</v>
      </c>
      <c r="J317">
        <v>0</v>
      </c>
      <c r="K317">
        <v>0</v>
      </c>
      <c r="L317">
        <v>2</v>
      </c>
      <c r="M317" s="1">
        <f t="shared" si="32"/>
        <v>-0.66174376285669079</v>
      </c>
      <c r="N317" s="1">
        <f t="shared" si="33"/>
        <v>-0.56601086555198066</v>
      </c>
      <c r="O317" s="1">
        <f t="shared" si="34"/>
        <v>-0.23023366211298069</v>
      </c>
      <c r="P317">
        <f t="shared" si="35"/>
        <v>298</v>
      </c>
      <c r="Q317">
        <f t="shared" si="36"/>
        <v>302</v>
      </c>
      <c r="R317">
        <f t="shared" si="37"/>
        <v>332</v>
      </c>
      <c r="S317">
        <f t="shared" si="38"/>
        <v>932</v>
      </c>
      <c r="T317">
        <f t="shared" si="39"/>
        <v>316</v>
      </c>
      <c r="U317" s="1" cm="1">
        <f t="array" ref="U317">MIN(ABS(M317:O317))</f>
        <v>0.23023366211298069</v>
      </c>
    </row>
    <row r="318" spans="1:21" x14ac:dyDescent="0.35">
      <c r="A318" t="s">
        <v>312</v>
      </c>
      <c r="B318" s="2">
        <v>67.86</v>
      </c>
      <c r="C318" s="2">
        <v>25.3</v>
      </c>
      <c r="D318" s="2">
        <v>29.79</v>
      </c>
      <c r="E318" s="2">
        <v>45.73</v>
      </c>
      <c r="F318" s="2">
        <v>11.23</v>
      </c>
      <c r="G318">
        <v>1</v>
      </c>
      <c r="H318">
        <v>2</v>
      </c>
      <c r="I318">
        <v>5</v>
      </c>
      <c r="J318">
        <v>0</v>
      </c>
      <c r="K318">
        <v>1</v>
      </c>
      <c r="L318">
        <v>2</v>
      </c>
      <c r="M318" s="1">
        <f t="shared" si="32"/>
        <v>-0.62717359269083406</v>
      </c>
      <c r="N318" s="1">
        <f t="shared" si="33"/>
        <v>-0.56100795755968169</v>
      </c>
      <c r="O318" s="1">
        <f t="shared" si="34"/>
        <v>-0.32611258473327442</v>
      </c>
      <c r="P318">
        <f t="shared" si="35"/>
        <v>281</v>
      </c>
      <c r="Q318">
        <f t="shared" si="36"/>
        <v>297</v>
      </c>
      <c r="R318">
        <f t="shared" si="37"/>
        <v>361</v>
      </c>
      <c r="S318">
        <f t="shared" si="38"/>
        <v>939</v>
      </c>
      <c r="T318">
        <f t="shared" si="39"/>
        <v>317</v>
      </c>
      <c r="U318" s="1" cm="1">
        <f t="array" ref="U318">MIN(ABS(M318:O318))</f>
        <v>0.32611258473327442</v>
      </c>
    </row>
    <row r="319" spans="1:21" x14ac:dyDescent="0.35">
      <c r="A319" t="s">
        <v>325</v>
      </c>
      <c r="B319" s="2">
        <v>263.36</v>
      </c>
      <c r="C319" s="2">
        <v>106.19</v>
      </c>
      <c r="D319" s="2">
        <v>111.53</v>
      </c>
      <c r="E319" s="2">
        <v>169.24</v>
      </c>
      <c r="F319" s="2">
        <v>10.37</v>
      </c>
      <c r="G319">
        <v>-1</v>
      </c>
      <c r="H319">
        <v>1</v>
      </c>
      <c r="I319">
        <v>5</v>
      </c>
      <c r="J319">
        <v>0</v>
      </c>
      <c r="K319">
        <v>1</v>
      </c>
      <c r="L319">
        <v>2</v>
      </c>
      <c r="M319" s="1">
        <f t="shared" si="32"/>
        <v>-0.59678766707168895</v>
      </c>
      <c r="N319" s="1">
        <f t="shared" si="33"/>
        <v>-0.57651123936816528</v>
      </c>
      <c r="O319" s="1">
        <f t="shared" si="34"/>
        <v>-0.35738153098420411</v>
      </c>
      <c r="P319">
        <f t="shared" si="35"/>
        <v>256</v>
      </c>
      <c r="Q319">
        <f t="shared" si="36"/>
        <v>310</v>
      </c>
      <c r="R319">
        <f t="shared" si="37"/>
        <v>373</v>
      </c>
      <c r="S319">
        <f t="shared" si="38"/>
        <v>939</v>
      </c>
      <c r="T319">
        <f t="shared" si="39"/>
        <v>317</v>
      </c>
      <c r="U319" s="1" cm="1">
        <f t="array" ref="U319">MIN(ABS(M319:O319))</f>
        <v>0.35738153098420411</v>
      </c>
    </row>
    <row r="320" spans="1:21" x14ac:dyDescent="0.35">
      <c r="A320" t="s">
        <v>327</v>
      </c>
      <c r="B320" s="2">
        <v>410.27</v>
      </c>
      <c r="C320" s="2">
        <v>158.5</v>
      </c>
      <c r="D320" s="2">
        <v>173.4</v>
      </c>
      <c r="E320" s="2">
        <v>281.58999999999997</v>
      </c>
      <c r="F320" s="2">
        <v>12.15</v>
      </c>
      <c r="G320">
        <v>0</v>
      </c>
      <c r="H320">
        <v>1</v>
      </c>
      <c r="I320">
        <v>5</v>
      </c>
      <c r="J320">
        <v>0</v>
      </c>
      <c r="K320">
        <v>0</v>
      </c>
      <c r="L320">
        <v>2</v>
      </c>
      <c r="M320" s="1">
        <f t="shared" si="32"/>
        <v>-0.61366904721281101</v>
      </c>
      <c r="N320" s="1">
        <f t="shared" si="33"/>
        <v>-0.57735150023155479</v>
      </c>
      <c r="O320" s="1">
        <f t="shared" si="34"/>
        <v>-0.31364711043946669</v>
      </c>
      <c r="P320">
        <f t="shared" si="35"/>
        <v>268</v>
      </c>
      <c r="Q320">
        <f t="shared" si="36"/>
        <v>312</v>
      </c>
      <c r="R320">
        <f t="shared" si="37"/>
        <v>360</v>
      </c>
      <c r="S320">
        <f t="shared" si="38"/>
        <v>940</v>
      </c>
      <c r="T320">
        <f t="shared" si="39"/>
        <v>319</v>
      </c>
      <c r="U320" s="1" cm="1">
        <f t="array" ref="U320">MIN(ABS(M320:O320))</f>
        <v>0.31364711043946669</v>
      </c>
    </row>
    <row r="321" spans="1:21" x14ac:dyDescent="0.35">
      <c r="A321" t="s">
        <v>335</v>
      </c>
      <c r="B321" s="2">
        <v>157.29</v>
      </c>
      <c r="C321" s="2">
        <v>62.34</v>
      </c>
      <c r="D321" s="2">
        <v>64.94</v>
      </c>
      <c r="E321" s="2">
        <v>105.42</v>
      </c>
      <c r="F321" s="2">
        <v>11.63</v>
      </c>
      <c r="G321">
        <v>-1</v>
      </c>
      <c r="H321">
        <v>1</v>
      </c>
      <c r="I321">
        <v>5</v>
      </c>
      <c r="J321">
        <v>0</v>
      </c>
      <c r="K321">
        <v>0</v>
      </c>
      <c r="L321">
        <v>2</v>
      </c>
      <c r="M321" s="1">
        <f t="shared" si="32"/>
        <v>-0.60366202555788662</v>
      </c>
      <c r="N321" s="1">
        <f t="shared" si="33"/>
        <v>-0.58713204908131478</v>
      </c>
      <c r="O321" s="1">
        <f t="shared" si="34"/>
        <v>-0.3297730307076101</v>
      </c>
      <c r="P321">
        <f t="shared" si="35"/>
        <v>261</v>
      </c>
      <c r="Q321">
        <f t="shared" si="36"/>
        <v>320</v>
      </c>
      <c r="R321">
        <f t="shared" si="37"/>
        <v>362</v>
      </c>
      <c r="S321">
        <f t="shared" si="38"/>
        <v>943</v>
      </c>
      <c r="T321">
        <f t="shared" si="39"/>
        <v>320</v>
      </c>
      <c r="U321" s="1" cm="1">
        <f t="array" ref="U321">MIN(ABS(M321:O321))</f>
        <v>0.3297730307076101</v>
      </c>
    </row>
    <row r="322" spans="1:21" x14ac:dyDescent="0.35">
      <c r="A322" t="s">
        <v>334</v>
      </c>
      <c r="B322" s="2">
        <v>117.66</v>
      </c>
      <c r="C322" s="2">
        <v>38.75</v>
      </c>
      <c r="D322" s="2">
        <v>48.62</v>
      </c>
      <c r="E322" s="2">
        <v>94.43</v>
      </c>
      <c r="F322" s="2">
        <v>12.88</v>
      </c>
      <c r="G322">
        <v>0</v>
      </c>
      <c r="H322">
        <v>2</v>
      </c>
      <c r="I322">
        <v>5</v>
      </c>
      <c r="J322">
        <v>0</v>
      </c>
      <c r="K322">
        <v>0</v>
      </c>
      <c r="L322">
        <v>2</v>
      </c>
      <c r="M322" s="1">
        <f t="shared" ref="M322:M385" si="40">C322/$B322-1</f>
        <v>-0.67066122726500077</v>
      </c>
      <c r="N322" s="1">
        <f t="shared" ref="N322:N385" si="41">D322/$B322-1</f>
        <v>-0.58677545469998305</v>
      </c>
      <c r="O322" s="1">
        <f t="shared" ref="O322:O385" si="42">E322/$B322-1</f>
        <v>-0.19743328233894264</v>
      </c>
      <c r="P322">
        <f t="shared" ref="P322:P385" si="43">_xlfn.RANK.EQ(M322,M$2:M$564)</f>
        <v>307</v>
      </c>
      <c r="Q322">
        <f t="shared" ref="Q322:Q385" si="44">_xlfn.RANK.EQ(N322,N$2:N$564)</f>
        <v>319</v>
      </c>
      <c r="R322">
        <f t="shared" ref="R322:R385" si="45">_xlfn.RANK.EQ(O322,O$2:O$564)</f>
        <v>318</v>
      </c>
      <c r="S322">
        <f t="shared" ref="S322:S385" si="46">SUM(P322:R322)</f>
        <v>944</v>
      </c>
      <c r="T322">
        <f t="shared" ref="T322:T385" si="47">_xlfn.RANK.EQ(S322,S$2:S$564, 1)</f>
        <v>321</v>
      </c>
      <c r="U322" s="1" cm="1">
        <f t="array" ref="U322">MIN(ABS(M322:O322))</f>
        <v>0.19743328233894264</v>
      </c>
    </row>
    <row r="323" spans="1:21" x14ac:dyDescent="0.35">
      <c r="A323" t="s">
        <v>342</v>
      </c>
      <c r="B323" s="2">
        <v>548.33000000000004</v>
      </c>
      <c r="C323" s="2">
        <v>134.08000000000001</v>
      </c>
      <c r="D323" s="2">
        <v>220.52</v>
      </c>
      <c r="E323" s="2">
        <v>598.62</v>
      </c>
      <c r="F323" s="2">
        <v>10.86</v>
      </c>
      <c r="G323">
        <v>1</v>
      </c>
      <c r="H323">
        <v>6</v>
      </c>
      <c r="I323">
        <v>11</v>
      </c>
      <c r="J323">
        <v>0</v>
      </c>
      <c r="K323">
        <v>0</v>
      </c>
      <c r="L323">
        <v>2</v>
      </c>
      <c r="M323" s="1">
        <f t="shared" si="40"/>
        <v>-0.75547571717761208</v>
      </c>
      <c r="N323" s="1">
        <f t="shared" si="41"/>
        <v>-0.59783342147976581</v>
      </c>
      <c r="O323" s="1">
        <f t="shared" si="42"/>
        <v>9.1714843251326617E-2</v>
      </c>
      <c r="P323">
        <f t="shared" si="43"/>
        <v>377</v>
      </c>
      <c r="Q323">
        <f t="shared" si="44"/>
        <v>327</v>
      </c>
      <c r="R323">
        <f t="shared" si="45"/>
        <v>241</v>
      </c>
      <c r="S323">
        <f t="shared" si="46"/>
        <v>945</v>
      </c>
      <c r="T323">
        <f t="shared" si="47"/>
        <v>322</v>
      </c>
      <c r="U323" s="1" cm="1">
        <f t="array" ref="U323">MIN(ABS(M323:O323))</f>
        <v>9.1714843251326617E-2</v>
      </c>
    </row>
    <row r="324" spans="1:21" x14ac:dyDescent="0.35">
      <c r="A324" t="s">
        <v>331</v>
      </c>
      <c r="B324" s="2">
        <v>238.24</v>
      </c>
      <c r="C324" s="2">
        <v>67.2</v>
      </c>
      <c r="D324" s="2">
        <v>99.07</v>
      </c>
      <c r="E324" s="2">
        <v>219.86</v>
      </c>
      <c r="F324" s="2">
        <v>9.9</v>
      </c>
      <c r="G324">
        <v>1</v>
      </c>
      <c r="H324">
        <v>5</v>
      </c>
      <c r="I324">
        <v>9</v>
      </c>
      <c r="J324">
        <v>0</v>
      </c>
      <c r="K324">
        <v>1</v>
      </c>
      <c r="L324">
        <v>2</v>
      </c>
      <c r="M324" s="1">
        <f t="shared" si="40"/>
        <v>-0.7179314976494291</v>
      </c>
      <c r="N324" s="1">
        <f t="shared" si="41"/>
        <v>-0.5841588314304903</v>
      </c>
      <c r="O324" s="1">
        <f t="shared" si="42"/>
        <v>-7.7149093351242426E-2</v>
      </c>
      <c r="P324">
        <f t="shared" si="43"/>
        <v>349</v>
      </c>
      <c r="Q324">
        <f t="shared" si="44"/>
        <v>316</v>
      </c>
      <c r="R324">
        <f t="shared" si="45"/>
        <v>282</v>
      </c>
      <c r="S324">
        <f t="shared" si="46"/>
        <v>947</v>
      </c>
      <c r="T324">
        <f t="shared" si="47"/>
        <v>323</v>
      </c>
      <c r="U324" s="1" cm="1">
        <f t="array" ref="U324">MIN(ABS(M324:O324))</f>
        <v>7.7149093351242426E-2</v>
      </c>
    </row>
    <row r="325" spans="1:21" x14ac:dyDescent="0.35">
      <c r="A325" t="s">
        <v>385</v>
      </c>
      <c r="B325" s="2">
        <v>39.9</v>
      </c>
      <c r="C325" s="2">
        <v>4.1100000000000003</v>
      </c>
      <c r="D325" s="2">
        <v>13.11</v>
      </c>
      <c r="E325" s="2">
        <v>88.95</v>
      </c>
      <c r="F325" s="2">
        <v>8.73</v>
      </c>
      <c r="G325">
        <v>2</v>
      </c>
      <c r="H325">
        <v>10</v>
      </c>
      <c r="I325">
        <v>18</v>
      </c>
      <c r="J325">
        <v>1</v>
      </c>
      <c r="K325">
        <v>5</v>
      </c>
      <c r="L325">
        <v>9</v>
      </c>
      <c r="M325" s="1">
        <f t="shared" si="40"/>
        <v>-0.89699248120300745</v>
      </c>
      <c r="N325" s="1">
        <f t="shared" si="41"/>
        <v>-0.67142857142857149</v>
      </c>
      <c r="O325" s="1">
        <f t="shared" si="42"/>
        <v>1.2293233082706769</v>
      </c>
      <c r="P325">
        <f t="shared" si="43"/>
        <v>471</v>
      </c>
      <c r="Q325">
        <f t="shared" si="44"/>
        <v>370</v>
      </c>
      <c r="R325">
        <f t="shared" si="45"/>
        <v>110</v>
      </c>
      <c r="S325">
        <f t="shared" si="46"/>
        <v>951</v>
      </c>
      <c r="T325">
        <f t="shared" si="47"/>
        <v>324</v>
      </c>
      <c r="U325" s="1" cm="1">
        <f t="array" ref="U325">MIN(ABS(M325:O325))</f>
        <v>0.67142857142857149</v>
      </c>
    </row>
    <row r="326" spans="1:21" x14ac:dyDescent="0.35">
      <c r="A326" t="s">
        <v>357</v>
      </c>
      <c r="B326" s="2">
        <v>135.1</v>
      </c>
      <c r="C326" s="2">
        <v>28.19</v>
      </c>
      <c r="D326" s="2">
        <v>50.97</v>
      </c>
      <c r="E326" s="2">
        <v>168.32</v>
      </c>
      <c r="F326" s="2">
        <v>11.83</v>
      </c>
      <c r="G326">
        <v>2</v>
      </c>
      <c r="H326">
        <v>7</v>
      </c>
      <c r="I326">
        <v>12</v>
      </c>
      <c r="J326">
        <v>0</v>
      </c>
      <c r="K326">
        <v>0</v>
      </c>
      <c r="L326">
        <v>2</v>
      </c>
      <c r="M326" s="1">
        <f t="shared" si="40"/>
        <v>-0.79133974833456699</v>
      </c>
      <c r="N326" s="1">
        <f t="shared" si="41"/>
        <v>-0.62272390821613621</v>
      </c>
      <c r="O326" s="1">
        <f t="shared" si="42"/>
        <v>0.24589193190229452</v>
      </c>
      <c r="P326">
        <f t="shared" si="43"/>
        <v>400</v>
      </c>
      <c r="Q326">
        <f t="shared" si="44"/>
        <v>342</v>
      </c>
      <c r="R326">
        <f t="shared" si="45"/>
        <v>213</v>
      </c>
      <c r="S326">
        <f t="shared" si="46"/>
        <v>955</v>
      </c>
      <c r="T326">
        <f t="shared" si="47"/>
        <v>325</v>
      </c>
      <c r="U326" s="1" cm="1">
        <f t="array" ref="U326">MIN(ABS(M326:O326))</f>
        <v>0.24589193190229452</v>
      </c>
    </row>
    <row r="327" spans="1:21" x14ac:dyDescent="0.35">
      <c r="A327" t="s">
        <v>381</v>
      </c>
      <c r="B327" s="2">
        <v>47.78</v>
      </c>
      <c r="C327" s="2">
        <v>5.73</v>
      </c>
      <c r="D327" s="2">
        <v>15.82</v>
      </c>
      <c r="E327" s="2">
        <v>94.31</v>
      </c>
      <c r="F327" s="2">
        <v>7.15</v>
      </c>
      <c r="G327">
        <v>2</v>
      </c>
      <c r="H327">
        <v>10</v>
      </c>
      <c r="I327">
        <v>18</v>
      </c>
      <c r="J327">
        <v>1</v>
      </c>
      <c r="K327">
        <v>3</v>
      </c>
      <c r="L327">
        <v>6</v>
      </c>
      <c r="M327" s="1">
        <f t="shared" si="40"/>
        <v>-0.88007534533277521</v>
      </c>
      <c r="N327" s="1">
        <f t="shared" si="41"/>
        <v>-0.6688991209711177</v>
      </c>
      <c r="O327" s="1">
        <f t="shared" si="42"/>
        <v>0.97383842611971527</v>
      </c>
      <c r="P327">
        <f t="shared" si="43"/>
        <v>463</v>
      </c>
      <c r="Q327">
        <f t="shared" si="44"/>
        <v>366</v>
      </c>
      <c r="R327">
        <f t="shared" si="45"/>
        <v>129</v>
      </c>
      <c r="S327">
        <f t="shared" si="46"/>
        <v>958</v>
      </c>
      <c r="T327">
        <f t="shared" si="47"/>
        <v>326</v>
      </c>
      <c r="U327" s="1" cm="1">
        <f t="array" ref="U327">MIN(ABS(M327:O327))</f>
        <v>0.6688991209711177</v>
      </c>
    </row>
    <row r="328" spans="1:21" x14ac:dyDescent="0.35">
      <c r="A328" t="s">
        <v>314</v>
      </c>
      <c r="B328" s="2">
        <v>24.37</v>
      </c>
      <c r="C328" s="2">
        <v>10.38</v>
      </c>
      <c r="D328" s="2">
        <v>10.68</v>
      </c>
      <c r="E328" s="2">
        <v>11.45</v>
      </c>
      <c r="F328" s="2">
        <v>14.72</v>
      </c>
      <c r="G328">
        <v>-3</v>
      </c>
      <c r="H328">
        <v>1</v>
      </c>
      <c r="I328">
        <v>5</v>
      </c>
      <c r="J328">
        <v>0</v>
      </c>
      <c r="K328">
        <v>2</v>
      </c>
      <c r="L328">
        <v>3</v>
      </c>
      <c r="M328" s="1">
        <f t="shared" si="40"/>
        <v>-0.57406647517439469</v>
      </c>
      <c r="N328" s="1">
        <f t="shared" si="41"/>
        <v>-0.56175625769388593</v>
      </c>
      <c r="O328" s="1">
        <f t="shared" si="42"/>
        <v>-0.53016003282724666</v>
      </c>
      <c r="P328">
        <f t="shared" si="43"/>
        <v>236</v>
      </c>
      <c r="Q328">
        <f t="shared" si="44"/>
        <v>299</v>
      </c>
      <c r="R328">
        <f t="shared" si="45"/>
        <v>424</v>
      </c>
      <c r="S328">
        <f t="shared" si="46"/>
        <v>959</v>
      </c>
      <c r="T328">
        <f t="shared" si="47"/>
        <v>327</v>
      </c>
      <c r="U328" s="1" cm="1">
        <f t="array" ref="U328">MIN(ABS(M328:O328))</f>
        <v>0.53016003282724666</v>
      </c>
    </row>
    <row r="329" spans="1:21" x14ac:dyDescent="0.35">
      <c r="A329" t="s">
        <v>348</v>
      </c>
      <c r="B329" s="2">
        <v>512.53</v>
      </c>
      <c r="C329" s="2">
        <v>125.11</v>
      </c>
      <c r="D329" s="2">
        <v>200.3</v>
      </c>
      <c r="E329" s="2">
        <v>541.48</v>
      </c>
      <c r="F329" s="2">
        <v>11.86</v>
      </c>
      <c r="G329">
        <v>1</v>
      </c>
      <c r="H329">
        <v>6</v>
      </c>
      <c r="I329">
        <v>11</v>
      </c>
      <c r="J329">
        <v>0</v>
      </c>
      <c r="K329">
        <v>0</v>
      </c>
      <c r="L329">
        <v>2</v>
      </c>
      <c r="M329" s="1">
        <f t="shared" si="40"/>
        <v>-0.75589721577273528</v>
      </c>
      <c r="N329" s="1">
        <f t="shared" si="41"/>
        <v>-0.60919360817903345</v>
      </c>
      <c r="O329" s="1">
        <f t="shared" si="42"/>
        <v>5.6484498468382327E-2</v>
      </c>
      <c r="P329">
        <f t="shared" si="43"/>
        <v>379</v>
      </c>
      <c r="Q329">
        <f t="shared" si="44"/>
        <v>333</v>
      </c>
      <c r="R329">
        <f t="shared" si="45"/>
        <v>247</v>
      </c>
      <c r="S329">
        <f t="shared" si="46"/>
        <v>959</v>
      </c>
      <c r="T329">
        <f t="shared" si="47"/>
        <v>327</v>
      </c>
      <c r="U329" s="1" cm="1">
        <f t="array" ref="U329">MIN(ABS(M329:O329))</f>
        <v>5.6484498468382327E-2</v>
      </c>
    </row>
    <row r="330" spans="1:21" x14ac:dyDescent="0.35">
      <c r="A330" t="s">
        <v>329</v>
      </c>
      <c r="B330" s="2">
        <v>210.98</v>
      </c>
      <c r="C330" s="2">
        <v>68.8</v>
      </c>
      <c r="D330" s="2">
        <v>88.81</v>
      </c>
      <c r="E330" s="2">
        <v>154.29</v>
      </c>
      <c r="F330" s="2">
        <v>11.4</v>
      </c>
      <c r="G330">
        <v>1</v>
      </c>
      <c r="H330">
        <v>3</v>
      </c>
      <c r="I330">
        <v>6</v>
      </c>
      <c r="J330">
        <v>0</v>
      </c>
      <c r="K330">
        <v>0</v>
      </c>
      <c r="L330">
        <v>2</v>
      </c>
      <c r="M330" s="1">
        <f t="shared" si="40"/>
        <v>-0.67390273959617031</v>
      </c>
      <c r="N330" s="1">
        <f t="shared" si="41"/>
        <v>-0.57905962650488196</v>
      </c>
      <c r="O330" s="1">
        <f t="shared" si="42"/>
        <v>-0.26869845482984167</v>
      </c>
      <c r="P330">
        <f t="shared" si="43"/>
        <v>310</v>
      </c>
      <c r="Q330">
        <f t="shared" si="44"/>
        <v>314</v>
      </c>
      <c r="R330">
        <f t="shared" si="45"/>
        <v>341</v>
      </c>
      <c r="S330">
        <f t="shared" si="46"/>
        <v>965</v>
      </c>
      <c r="T330">
        <f t="shared" si="47"/>
        <v>329</v>
      </c>
      <c r="U330" s="1" cm="1">
        <f t="array" ref="U330">MIN(ABS(M330:O330))</f>
        <v>0.26869845482984167</v>
      </c>
    </row>
    <row r="331" spans="1:21" x14ac:dyDescent="0.35">
      <c r="A331" t="s">
        <v>345</v>
      </c>
      <c r="B331" s="2">
        <v>58.05</v>
      </c>
      <c r="C331" s="2">
        <v>21.96</v>
      </c>
      <c r="D331" s="2">
        <v>23.02</v>
      </c>
      <c r="E331" s="2">
        <v>38.619999999999997</v>
      </c>
      <c r="F331" s="2">
        <v>12.23</v>
      </c>
      <c r="G331">
        <v>-2</v>
      </c>
      <c r="H331">
        <v>1</v>
      </c>
      <c r="I331">
        <v>5</v>
      </c>
      <c r="J331">
        <v>0</v>
      </c>
      <c r="K331">
        <v>1</v>
      </c>
      <c r="L331">
        <v>2</v>
      </c>
      <c r="M331" s="1">
        <f t="shared" si="40"/>
        <v>-0.6217054263565891</v>
      </c>
      <c r="N331" s="1">
        <f t="shared" si="41"/>
        <v>-0.60344530577088717</v>
      </c>
      <c r="O331" s="1">
        <f t="shared" si="42"/>
        <v>-0.33471145564168825</v>
      </c>
      <c r="P331">
        <f t="shared" si="43"/>
        <v>273</v>
      </c>
      <c r="Q331">
        <f t="shared" si="44"/>
        <v>330</v>
      </c>
      <c r="R331">
        <f t="shared" si="45"/>
        <v>363</v>
      </c>
      <c r="S331">
        <f t="shared" si="46"/>
        <v>966</v>
      </c>
      <c r="T331">
        <f t="shared" si="47"/>
        <v>330</v>
      </c>
      <c r="U331" s="1" cm="1">
        <f t="array" ref="U331">MIN(ABS(M331:O331))</f>
        <v>0.33471145564168825</v>
      </c>
    </row>
    <row r="332" spans="1:21" x14ac:dyDescent="0.35">
      <c r="A332" t="s">
        <v>337</v>
      </c>
      <c r="B332" s="2">
        <v>60.61</v>
      </c>
      <c r="C332" s="2">
        <v>21.99</v>
      </c>
      <c r="D332" s="2">
        <v>24.76</v>
      </c>
      <c r="E332" s="2">
        <v>40.200000000000003</v>
      </c>
      <c r="F332" s="2">
        <v>10.63</v>
      </c>
      <c r="G332">
        <v>0</v>
      </c>
      <c r="H332">
        <v>1</v>
      </c>
      <c r="I332">
        <v>5</v>
      </c>
      <c r="J332">
        <v>0</v>
      </c>
      <c r="K332">
        <v>1</v>
      </c>
      <c r="L332">
        <v>2</v>
      </c>
      <c r="M332" s="1">
        <f t="shared" si="40"/>
        <v>-0.63718858274212176</v>
      </c>
      <c r="N332" s="1">
        <f t="shared" si="41"/>
        <v>-0.59148655337403067</v>
      </c>
      <c r="O332" s="1">
        <f t="shared" si="42"/>
        <v>-0.33674311169773963</v>
      </c>
      <c r="P332">
        <f t="shared" si="43"/>
        <v>284</v>
      </c>
      <c r="Q332">
        <f t="shared" si="44"/>
        <v>322</v>
      </c>
      <c r="R332">
        <f t="shared" si="45"/>
        <v>364</v>
      </c>
      <c r="S332">
        <f t="shared" si="46"/>
        <v>970</v>
      </c>
      <c r="T332">
        <f t="shared" si="47"/>
        <v>331</v>
      </c>
      <c r="U332" s="1" cm="1">
        <f t="array" ref="U332">MIN(ABS(M332:O332))</f>
        <v>0.33674311169773963</v>
      </c>
    </row>
    <row r="333" spans="1:21" x14ac:dyDescent="0.35">
      <c r="A333" t="s">
        <v>333</v>
      </c>
      <c r="B333" s="2">
        <v>78.28</v>
      </c>
      <c r="C333" s="2">
        <v>25.86</v>
      </c>
      <c r="D333" s="2">
        <v>32.5</v>
      </c>
      <c r="E333" s="2">
        <v>55.43</v>
      </c>
      <c r="F333" s="2">
        <v>11.39</v>
      </c>
      <c r="G333">
        <v>1</v>
      </c>
      <c r="H333">
        <v>4</v>
      </c>
      <c r="I333">
        <v>7</v>
      </c>
      <c r="J333">
        <v>0</v>
      </c>
      <c r="K333">
        <v>0</v>
      </c>
      <c r="L333">
        <v>2</v>
      </c>
      <c r="M333" s="1">
        <f t="shared" si="40"/>
        <v>-0.66964741951967299</v>
      </c>
      <c r="N333" s="1">
        <f t="shared" si="41"/>
        <v>-0.58482370975983655</v>
      </c>
      <c r="O333" s="1">
        <f t="shared" si="42"/>
        <v>-0.29190086867654574</v>
      </c>
      <c r="P333">
        <f t="shared" si="43"/>
        <v>306</v>
      </c>
      <c r="Q333">
        <f t="shared" si="44"/>
        <v>318</v>
      </c>
      <c r="R333">
        <f t="shared" si="45"/>
        <v>347</v>
      </c>
      <c r="S333">
        <f t="shared" si="46"/>
        <v>971</v>
      </c>
      <c r="T333">
        <f t="shared" si="47"/>
        <v>332</v>
      </c>
      <c r="U333" s="1" cm="1">
        <f t="array" ref="U333">MIN(ABS(M333:O333))</f>
        <v>0.29190086867654574</v>
      </c>
    </row>
    <row r="334" spans="1:21" x14ac:dyDescent="0.35">
      <c r="A334" t="s">
        <v>379</v>
      </c>
      <c r="B334" s="2">
        <v>105.45</v>
      </c>
      <c r="C334" s="2">
        <v>17.37</v>
      </c>
      <c r="D334" s="2">
        <v>35.49</v>
      </c>
      <c r="E334" s="2">
        <v>161.61000000000001</v>
      </c>
      <c r="F334" s="2">
        <v>9.9499999999999993</v>
      </c>
      <c r="G334">
        <v>2</v>
      </c>
      <c r="H334">
        <v>10</v>
      </c>
      <c r="I334">
        <v>18</v>
      </c>
      <c r="J334">
        <v>0</v>
      </c>
      <c r="K334">
        <v>0</v>
      </c>
      <c r="L334">
        <v>2</v>
      </c>
      <c r="M334" s="1">
        <f t="shared" si="40"/>
        <v>-0.83527738264580376</v>
      </c>
      <c r="N334" s="1">
        <f t="shared" si="41"/>
        <v>-0.66344238975817915</v>
      </c>
      <c r="O334" s="1">
        <f t="shared" si="42"/>
        <v>0.53257467994310104</v>
      </c>
      <c r="P334">
        <f t="shared" si="43"/>
        <v>434</v>
      </c>
      <c r="Q334">
        <f t="shared" si="44"/>
        <v>364</v>
      </c>
      <c r="R334">
        <f t="shared" si="45"/>
        <v>178</v>
      </c>
      <c r="S334">
        <f t="shared" si="46"/>
        <v>976</v>
      </c>
      <c r="T334">
        <f t="shared" si="47"/>
        <v>333</v>
      </c>
      <c r="U334" s="1" cm="1">
        <f t="array" ref="U334">MIN(ABS(M334:O334))</f>
        <v>0.53257467994310104</v>
      </c>
    </row>
    <row r="335" spans="1:21" x14ac:dyDescent="0.35">
      <c r="A335" t="s">
        <v>349</v>
      </c>
      <c r="B335" s="2">
        <v>475.51</v>
      </c>
      <c r="C335" s="2">
        <v>122.92</v>
      </c>
      <c r="D335" s="2">
        <v>185.73</v>
      </c>
      <c r="E335" s="2">
        <v>439.24</v>
      </c>
      <c r="F335" s="2">
        <v>9.9600000000000009</v>
      </c>
      <c r="G335">
        <v>1</v>
      </c>
      <c r="H335">
        <v>6</v>
      </c>
      <c r="I335">
        <v>10</v>
      </c>
      <c r="J335">
        <v>0</v>
      </c>
      <c r="K335">
        <v>1</v>
      </c>
      <c r="L335">
        <v>2</v>
      </c>
      <c r="M335" s="1">
        <f t="shared" si="40"/>
        <v>-0.74149860150154567</v>
      </c>
      <c r="N335" s="1">
        <f t="shared" si="41"/>
        <v>-0.60940884523984773</v>
      </c>
      <c r="O335" s="1">
        <f t="shared" si="42"/>
        <v>-7.6275998401716061E-2</v>
      </c>
      <c r="P335">
        <f t="shared" si="43"/>
        <v>368</v>
      </c>
      <c r="Q335">
        <f t="shared" si="44"/>
        <v>334</v>
      </c>
      <c r="R335">
        <f t="shared" si="45"/>
        <v>280</v>
      </c>
      <c r="S335">
        <f t="shared" si="46"/>
        <v>982</v>
      </c>
      <c r="T335">
        <f t="shared" si="47"/>
        <v>334</v>
      </c>
      <c r="U335" s="1" cm="1">
        <f t="array" ref="U335">MIN(ABS(M335:O335))</f>
        <v>7.6275998401716061E-2</v>
      </c>
    </row>
    <row r="336" spans="1:21" x14ac:dyDescent="0.35">
      <c r="A336" t="s">
        <v>338</v>
      </c>
      <c r="B336" s="2">
        <v>253</v>
      </c>
      <c r="C336" s="2">
        <v>79.540000000000006</v>
      </c>
      <c r="D336" s="2">
        <v>102.91</v>
      </c>
      <c r="E336" s="2">
        <v>185.96</v>
      </c>
      <c r="F336" s="2">
        <v>10.99</v>
      </c>
      <c r="G336">
        <v>1</v>
      </c>
      <c r="H336">
        <v>4</v>
      </c>
      <c r="I336">
        <v>7</v>
      </c>
      <c r="J336">
        <v>0</v>
      </c>
      <c r="K336">
        <v>1</v>
      </c>
      <c r="L336">
        <v>2</v>
      </c>
      <c r="M336" s="1">
        <f t="shared" si="40"/>
        <v>-0.68561264822134382</v>
      </c>
      <c r="N336" s="1">
        <f t="shared" si="41"/>
        <v>-0.59324110671936758</v>
      </c>
      <c r="O336" s="1">
        <f t="shared" si="42"/>
        <v>-0.2649802371541502</v>
      </c>
      <c r="P336">
        <f t="shared" si="43"/>
        <v>324</v>
      </c>
      <c r="Q336">
        <f t="shared" si="44"/>
        <v>323</v>
      </c>
      <c r="R336">
        <f t="shared" si="45"/>
        <v>338</v>
      </c>
      <c r="S336">
        <f t="shared" si="46"/>
        <v>985</v>
      </c>
      <c r="T336">
        <f t="shared" si="47"/>
        <v>335</v>
      </c>
      <c r="U336" s="1" cm="1">
        <f t="array" ref="U336">MIN(ABS(M336:O336))</f>
        <v>0.2649802371541502</v>
      </c>
    </row>
    <row r="337" spans="1:21" x14ac:dyDescent="0.35">
      <c r="A337" t="s">
        <v>339</v>
      </c>
      <c r="B337" s="2">
        <v>217.69</v>
      </c>
      <c r="C337" s="2">
        <v>66.930000000000007</v>
      </c>
      <c r="D337" s="2">
        <v>88.5</v>
      </c>
      <c r="E337" s="2">
        <v>164.88</v>
      </c>
      <c r="F337" s="2">
        <v>11.7</v>
      </c>
      <c r="G337">
        <v>1</v>
      </c>
      <c r="H337">
        <v>4</v>
      </c>
      <c r="I337">
        <v>6</v>
      </c>
      <c r="J337">
        <v>0</v>
      </c>
      <c r="K337">
        <v>0</v>
      </c>
      <c r="L337">
        <v>2</v>
      </c>
      <c r="M337" s="1">
        <f t="shared" si="40"/>
        <v>-0.69254444393403458</v>
      </c>
      <c r="N337" s="1">
        <f t="shared" si="41"/>
        <v>-0.5934585879002251</v>
      </c>
      <c r="O337" s="1">
        <f t="shared" si="42"/>
        <v>-0.24259267766089398</v>
      </c>
      <c r="P337">
        <f t="shared" si="43"/>
        <v>329</v>
      </c>
      <c r="Q337">
        <f t="shared" si="44"/>
        <v>324</v>
      </c>
      <c r="R337">
        <f t="shared" si="45"/>
        <v>334</v>
      </c>
      <c r="S337">
        <f t="shared" si="46"/>
        <v>987</v>
      </c>
      <c r="T337">
        <f t="shared" si="47"/>
        <v>336</v>
      </c>
      <c r="U337" s="1" cm="1">
        <f t="array" ref="U337">MIN(ABS(M337:O337))</f>
        <v>0.24259267766089398</v>
      </c>
    </row>
    <row r="338" spans="1:21" x14ac:dyDescent="0.35">
      <c r="A338" t="s">
        <v>341</v>
      </c>
      <c r="B338" s="2">
        <v>101.72</v>
      </c>
      <c r="C338" s="2">
        <v>37.94</v>
      </c>
      <c r="D338" s="2">
        <v>40.93</v>
      </c>
      <c r="E338" s="2">
        <v>62.94</v>
      </c>
      <c r="F338" s="2">
        <v>12.72</v>
      </c>
      <c r="G338">
        <v>0</v>
      </c>
      <c r="H338">
        <v>1</v>
      </c>
      <c r="I338">
        <v>5</v>
      </c>
      <c r="J338">
        <v>0</v>
      </c>
      <c r="K338">
        <v>0</v>
      </c>
      <c r="L338">
        <v>2</v>
      </c>
      <c r="M338" s="1">
        <f t="shared" si="40"/>
        <v>-0.62701533621706651</v>
      </c>
      <c r="N338" s="1">
        <f t="shared" si="41"/>
        <v>-0.59762092017302404</v>
      </c>
      <c r="O338" s="1">
        <f t="shared" si="42"/>
        <v>-0.38124262681871801</v>
      </c>
      <c r="P338">
        <f t="shared" si="43"/>
        <v>280</v>
      </c>
      <c r="Q338">
        <f t="shared" si="44"/>
        <v>326</v>
      </c>
      <c r="R338">
        <f t="shared" si="45"/>
        <v>381</v>
      </c>
      <c r="S338">
        <f t="shared" si="46"/>
        <v>987</v>
      </c>
      <c r="T338">
        <f t="shared" si="47"/>
        <v>336</v>
      </c>
      <c r="U338" s="1" cm="1">
        <f t="array" ref="U338">MIN(ABS(M338:O338))</f>
        <v>0.38124262681871801</v>
      </c>
    </row>
    <row r="339" spans="1:21" x14ac:dyDescent="0.35">
      <c r="A339" t="s">
        <v>371</v>
      </c>
      <c r="B339" s="2">
        <v>180.28</v>
      </c>
      <c r="C339" s="2">
        <v>59.71</v>
      </c>
      <c r="D339" s="2">
        <v>62.2</v>
      </c>
      <c r="E339" s="2">
        <v>140.66</v>
      </c>
      <c r="F339" s="2">
        <v>12.64</v>
      </c>
      <c r="G339">
        <v>-3</v>
      </c>
      <c r="H339">
        <v>1</v>
      </c>
      <c r="I339">
        <v>5</v>
      </c>
      <c r="J339">
        <v>0</v>
      </c>
      <c r="K339">
        <v>0</v>
      </c>
      <c r="L339">
        <v>2</v>
      </c>
      <c r="M339" s="1">
        <f t="shared" si="40"/>
        <v>-0.66879298868426895</v>
      </c>
      <c r="N339" s="1">
        <f t="shared" si="41"/>
        <v>-0.65498114044819167</v>
      </c>
      <c r="O339" s="1">
        <f t="shared" si="42"/>
        <v>-0.21976924783669849</v>
      </c>
      <c r="P339">
        <f t="shared" si="43"/>
        <v>304</v>
      </c>
      <c r="Q339">
        <f t="shared" si="44"/>
        <v>356</v>
      </c>
      <c r="R339">
        <f t="shared" si="45"/>
        <v>327</v>
      </c>
      <c r="S339">
        <f t="shared" si="46"/>
        <v>987</v>
      </c>
      <c r="T339">
        <f t="shared" si="47"/>
        <v>336</v>
      </c>
      <c r="U339" s="1" cm="1">
        <f t="array" ref="U339">MIN(ABS(M339:O339))</f>
        <v>0.21976924783669849</v>
      </c>
    </row>
    <row r="340" spans="1:21" x14ac:dyDescent="0.35">
      <c r="A340" t="s">
        <v>352</v>
      </c>
      <c r="B340" s="2">
        <v>476.63</v>
      </c>
      <c r="C340" s="2">
        <v>189.83</v>
      </c>
      <c r="D340" s="2">
        <v>183.75</v>
      </c>
      <c r="E340" s="2">
        <v>267.51</v>
      </c>
      <c r="F340" s="2">
        <v>12.89</v>
      </c>
      <c r="G340">
        <v>-3</v>
      </c>
      <c r="H340">
        <v>1</v>
      </c>
      <c r="I340">
        <v>5</v>
      </c>
      <c r="J340">
        <v>0</v>
      </c>
      <c r="K340">
        <v>0</v>
      </c>
      <c r="L340">
        <v>2</v>
      </c>
      <c r="M340" s="1">
        <f t="shared" si="40"/>
        <v>-0.60172460818664364</v>
      </c>
      <c r="N340" s="1">
        <f t="shared" si="41"/>
        <v>-0.61448083419004251</v>
      </c>
      <c r="O340" s="1">
        <f t="shared" si="42"/>
        <v>-0.43874703648532409</v>
      </c>
      <c r="P340">
        <f t="shared" si="43"/>
        <v>259</v>
      </c>
      <c r="Q340">
        <f t="shared" si="44"/>
        <v>337</v>
      </c>
      <c r="R340">
        <f t="shared" si="45"/>
        <v>400</v>
      </c>
      <c r="S340">
        <f t="shared" si="46"/>
        <v>996</v>
      </c>
      <c r="T340">
        <f t="shared" si="47"/>
        <v>339</v>
      </c>
      <c r="U340" s="1" cm="1">
        <f t="array" ref="U340">MIN(ABS(M340:O340))</f>
        <v>0.43874703648532409</v>
      </c>
    </row>
    <row r="341" spans="1:21" x14ac:dyDescent="0.35">
      <c r="A341" t="s">
        <v>346</v>
      </c>
      <c r="B341" s="2">
        <v>553.89</v>
      </c>
      <c r="C341" s="2">
        <v>169.63</v>
      </c>
      <c r="D341" s="2">
        <v>218.59</v>
      </c>
      <c r="E341" s="2">
        <v>418.53</v>
      </c>
      <c r="F341" s="2">
        <v>11.64</v>
      </c>
      <c r="G341">
        <v>1</v>
      </c>
      <c r="H341">
        <v>3</v>
      </c>
      <c r="I341">
        <v>5</v>
      </c>
      <c r="J341">
        <v>0</v>
      </c>
      <c r="K341">
        <v>0</v>
      </c>
      <c r="L341">
        <v>2</v>
      </c>
      <c r="M341" s="1">
        <f t="shared" si="40"/>
        <v>-0.69374785607250544</v>
      </c>
      <c r="N341" s="1">
        <f t="shared" si="41"/>
        <v>-0.60535485385184784</v>
      </c>
      <c r="O341" s="1">
        <f t="shared" si="42"/>
        <v>-0.2443806531982885</v>
      </c>
      <c r="P341">
        <f t="shared" si="43"/>
        <v>331</v>
      </c>
      <c r="Q341">
        <f t="shared" si="44"/>
        <v>331</v>
      </c>
      <c r="R341">
        <f t="shared" si="45"/>
        <v>335</v>
      </c>
      <c r="S341">
        <f t="shared" si="46"/>
        <v>997</v>
      </c>
      <c r="T341">
        <f t="shared" si="47"/>
        <v>340</v>
      </c>
      <c r="U341" s="1" cm="1">
        <f t="array" ref="U341">MIN(ABS(M341:O341))</f>
        <v>0.2443806531982885</v>
      </c>
    </row>
    <row r="342" spans="1:21" x14ac:dyDescent="0.35">
      <c r="A342" t="s">
        <v>343</v>
      </c>
      <c r="B342" s="2">
        <v>442.33</v>
      </c>
      <c r="C342" s="2">
        <v>150.03</v>
      </c>
      <c r="D342" s="2">
        <v>177.11</v>
      </c>
      <c r="E342" s="2">
        <v>282.19</v>
      </c>
      <c r="F342" s="2">
        <v>11.44</v>
      </c>
      <c r="G342">
        <v>0</v>
      </c>
      <c r="H342">
        <v>2</v>
      </c>
      <c r="I342">
        <v>5</v>
      </c>
      <c r="J342">
        <v>0</v>
      </c>
      <c r="K342">
        <v>0</v>
      </c>
      <c r="L342">
        <v>2</v>
      </c>
      <c r="M342" s="1">
        <f t="shared" si="40"/>
        <v>-0.66081884565821891</v>
      </c>
      <c r="N342" s="1">
        <f t="shared" si="41"/>
        <v>-0.5995975855130784</v>
      </c>
      <c r="O342" s="1">
        <f t="shared" si="42"/>
        <v>-0.36203739289670611</v>
      </c>
      <c r="P342">
        <f t="shared" si="43"/>
        <v>296</v>
      </c>
      <c r="Q342">
        <f t="shared" si="44"/>
        <v>328</v>
      </c>
      <c r="R342">
        <f t="shared" si="45"/>
        <v>374</v>
      </c>
      <c r="S342">
        <f t="shared" si="46"/>
        <v>998</v>
      </c>
      <c r="T342">
        <f t="shared" si="47"/>
        <v>341</v>
      </c>
      <c r="U342" s="1" cm="1">
        <f t="array" ref="U342">MIN(ABS(M342:O342))</f>
        <v>0.36203739289670611</v>
      </c>
    </row>
    <row r="343" spans="1:21" x14ac:dyDescent="0.35">
      <c r="A343" t="s">
        <v>344</v>
      </c>
      <c r="B343" s="2">
        <v>67.73</v>
      </c>
      <c r="C343" s="2">
        <v>24.55</v>
      </c>
      <c r="D343" s="2">
        <v>26.94</v>
      </c>
      <c r="E343" s="2">
        <v>39.82</v>
      </c>
      <c r="F343" s="2">
        <v>11.31</v>
      </c>
      <c r="G343">
        <v>0</v>
      </c>
      <c r="H343">
        <v>1</v>
      </c>
      <c r="I343">
        <v>5</v>
      </c>
      <c r="J343">
        <v>0</v>
      </c>
      <c r="K343">
        <v>0</v>
      </c>
      <c r="L343">
        <v>2</v>
      </c>
      <c r="M343" s="1">
        <f t="shared" si="40"/>
        <v>-0.63753137457552045</v>
      </c>
      <c r="N343" s="1">
        <f t="shared" si="41"/>
        <v>-0.60224420493134501</v>
      </c>
      <c r="O343" s="1">
        <f t="shared" si="42"/>
        <v>-0.41207736601210687</v>
      </c>
      <c r="P343">
        <f t="shared" si="43"/>
        <v>285</v>
      </c>
      <c r="Q343">
        <f t="shared" si="44"/>
        <v>329</v>
      </c>
      <c r="R343">
        <f t="shared" si="45"/>
        <v>391</v>
      </c>
      <c r="S343">
        <f t="shared" si="46"/>
        <v>1005</v>
      </c>
      <c r="T343">
        <f t="shared" si="47"/>
        <v>342</v>
      </c>
      <c r="U343" s="1" cm="1">
        <f t="array" ref="U343">MIN(ABS(M343:O343))</f>
        <v>0.41207736601210687</v>
      </c>
    </row>
    <row r="344" spans="1:21" x14ac:dyDescent="0.35">
      <c r="A344" t="s">
        <v>350</v>
      </c>
      <c r="B344" s="2">
        <v>389.45</v>
      </c>
      <c r="C344" s="2">
        <v>109.1</v>
      </c>
      <c r="D344" s="2">
        <v>151.06</v>
      </c>
      <c r="E344" s="2">
        <v>311.33</v>
      </c>
      <c r="F344" s="2">
        <v>11.17</v>
      </c>
      <c r="G344">
        <v>1</v>
      </c>
      <c r="H344">
        <v>5</v>
      </c>
      <c r="I344">
        <v>8</v>
      </c>
      <c r="J344">
        <v>0</v>
      </c>
      <c r="K344">
        <v>0</v>
      </c>
      <c r="L344">
        <v>2</v>
      </c>
      <c r="M344" s="1">
        <f t="shared" si="40"/>
        <v>-0.71986134291950188</v>
      </c>
      <c r="N344" s="1">
        <f t="shared" si="41"/>
        <v>-0.61211965592502238</v>
      </c>
      <c r="O344" s="1">
        <f t="shared" si="42"/>
        <v>-0.2005905764539736</v>
      </c>
      <c r="P344">
        <f t="shared" si="43"/>
        <v>351</v>
      </c>
      <c r="Q344">
        <f t="shared" si="44"/>
        <v>335</v>
      </c>
      <c r="R344">
        <f t="shared" si="45"/>
        <v>320</v>
      </c>
      <c r="S344">
        <f t="shared" si="46"/>
        <v>1006</v>
      </c>
      <c r="T344">
        <f t="shared" si="47"/>
        <v>343</v>
      </c>
      <c r="U344" s="1" cm="1">
        <f t="array" ref="U344">MIN(ABS(M344:O344))</f>
        <v>0.2005905764539736</v>
      </c>
    </row>
    <row r="345" spans="1:21" x14ac:dyDescent="0.35">
      <c r="A345" t="s">
        <v>366</v>
      </c>
      <c r="B345" s="2">
        <v>499.2</v>
      </c>
      <c r="C345" s="2">
        <v>137.52000000000001</v>
      </c>
      <c r="D345" s="2">
        <v>177.81</v>
      </c>
      <c r="E345" s="2">
        <v>431.18</v>
      </c>
      <c r="F345" s="2">
        <v>13.97</v>
      </c>
      <c r="G345">
        <v>1</v>
      </c>
      <c r="H345">
        <v>5</v>
      </c>
      <c r="I345">
        <v>8</v>
      </c>
      <c r="J345">
        <v>0</v>
      </c>
      <c r="K345">
        <v>0</v>
      </c>
      <c r="L345">
        <v>2</v>
      </c>
      <c r="M345" s="1">
        <f t="shared" si="40"/>
        <v>-0.72451923076923075</v>
      </c>
      <c r="N345" s="1">
        <f t="shared" si="41"/>
        <v>-0.64381009615384621</v>
      </c>
      <c r="O345" s="1">
        <f t="shared" si="42"/>
        <v>-0.13625801282051275</v>
      </c>
      <c r="P345">
        <f t="shared" si="43"/>
        <v>354</v>
      </c>
      <c r="Q345">
        <f t="shared" si="44"/>
        <v>351</v>
      </c>
      <c r="R345">
        <f t="shared" si="45"/>
        <v>304</v>
      </c>
      <c r="S345">
        <f t="shared" si="46"/>
        <v>1009</v>
      </c>
      <c r="T345">
        <f t="shared" si="47"/>
        <v>344</v>
      </c>
      <c r="U345" s="1" cm="1">
        <f t="array" ref="U345">MIN(ABS(M345:O345))</f>
        <v>0.13625801282051275</v>
      </c>
    </row>
    <row r="346" spans="1:21" x14ac:dyDescent="0.35">
      <c r="A346" t="s">
        <v>396</v>
      </c>
      <c r="B346" s="2">
        <v>318.89</v>
      </c>
      <c r="C346" s="2">
        <v>46.67</v>
      </c>
      <c r="D346" s="2">
        <v>98.85</v>
      </c>
      <c r="E346" s="2">
        <v>484.49</v>
      </c>
      <c r="F346" s="2">
        <v>11.51</v>
      </c>
      <c r="G346">
        <v>2</v>
      </c>
      <c r="H346">
        <v>10</v>
      </c>
      <c r="I346">
        <v>18</v>
      </c>
      <c r="J346">
        <v>0</v>
      </c>
      <c r="K346">
        <v>0</v>
      </c>
      <c r="L346">
        <v>2</v>
      </c>
      <c r="M346" s="1">
        <f t="shared" si="40"/>
        <v>-0.85364859355890743</v>
      </c>
      <c r="N346" s="1">
        <f t="shared" si="41"/>
        <v>-0.69001850167769452</v>
      </c>
      <c r="O346" s="1">
        <f t="shared" si="42"/>
        <v>0.51930132647621452</v>
      </c>
      <c r="P346">
        <f t="shared" si="43"/>
        <v>448</v>
      </c>
      <c r="Q346">
        <f t="shared" si="44"/>
        <v>381</v>
      </c>
      <c r="R346">
        <f t="shared" si="45"/>
        <v>180</v>
      </c>
      <c r="S346">
        <f t="shared" si="46"/>
        <v>1009</v>
      </c>
      <c r="T346">
        <f t="shared" si="47"/>
        <v>344</v>
      </c>
      <c r="U346" s="1" cm="1">
        <f t="array" ref="U346">MIN(ABS(M346:O346))</f>
        <v>0.51930132647621452</v>
      </c>
    </row>
    <row r="347" spans="1:21" x14ac:dyDescent="0.35">
      <c r="A347" t="s">
        <v>369</v>
      </c>
      <c r="B347" s="2">
        <v>238.77</v>
      </c>
      <c r="C347" s="2">
        <v>53.3</v>
      </c>
      <c r="D347" s="2">
        <v>84.23</v>
      </c>
      <c r="E347" s="2">
        <v>236.7</v>
      </c>
      <c r="F347" s="2">
        <v>11.88</v>
      </c>
      <c r="G347">
        <v>1</v>
      </c>
      <c r="H347">
        <v>6</v>
      </c>
      <c r="I347">
        <v>11</v>
      </c>
      <c r="J347">
        <v>0</v>
      </c>
      <c r="K347">
        <v>0</v>
      </c>
      <c r="L347">
        <v>2</v>
      </c>
      <c r="M347" s="1">
        <f t="shared" si="40"/>
        <v>-0.77677262637684807</v>
      </c>
      <c r="N347" s="1">
        <f t="shared" si="41"/>
        <v>-0.64723373958202446</v>
      </c>
      <c r="O347" s="1">
        <f t="shared" si="42"/>
        <v>-8.6694308330192982E-3</v>
      </c>
      <c r="P347">
        <f t="shared" si="43"/>
        <v>393</v>
      </c>
      <c r="Q347">
        <f t="shared" si="44"/>
        <v>354</v>
      </c>
      <c r="R347">
        <f t="shared" si="45"/>
        <v>265</v>
      </c>
      <c r="S347">
        <f t="shared" si="46"/>
        <v>1012</v>
      </c>
      <c r="T347">
        <f t="shared" si="47"/>
        <v>346</v>
      </c>
      <c r="U347" s="1" cm="1">
        <f t="array" ref="U347">MIN(ABS(M347:O347))</f>
        <v>8.6694308330192982E-3</v>
      </c>
    </row>
    <row r="348" spans="1:21" x14ac:dyDescent="0.35">
      <c r="A348" t="s">
        <v>351</v>
      </c>
      <c r="B348" s="2">
        <v>76.099999999999994</v>
      </c>
      <c r="C348" s="2">
        <v>26.66</v>
      </c>
      <c r="D348" s="2">
        <v>29.36</v>
      </c>
      <c r="E348" s="2">
        <v>45.11</v>
      </c>
      <c r="F348" s="2">
        <v>12.59</v>
      </c>
      <c r="G348">
        <v>0</v>
      </c>
      <c r="H348">
        <v>1</v>
      </c>
      <c r="I348">
        <v>5</v>
      </c>
      <c r="J348">
        <v>0</v>
      </c>
      <c r="K348">
        <v>0</v>
      </c>
      <c r="L348">
        <v>2</v>
      </c>
      <c r="M348" s="1">
        <f t="shared" si="40"/>
        <v>-0.64967148488830484</v>
      </c>
      <c r="N348" s="1">
        <f t="shared" si="41"/>
        <v>-0.61419185282522992</v>
      </c>
      <c r="O348" s="1">
        <f t="shared" si="42"/>
        <v>-0.40722733245729303</v>
      </c>
      <c r="P348">
        <f t="shared" si="43"/>
        <v>291</v>
      </c>
      <c r="Q348">
        <f t="shared" si="44"/>
        <v>336</v>
      </c>
      <c r="R348">
        <f t="shared" si="45"/>
        <v>388</v>
      </c>
      <c r="S348">
        <f t="shared" si="46"/>
        <v>1015</v>
      </c>
      <c r="T348">
        <f t="shared" si="47"/>
        <v>347</v>
      </c>
      <c r="U348" s="1" cm="1">
        <f t="array" ref="U348">MIN(ABS(M348:O348))</f>
        <v>0.40722733245729303</v>
      </c>
    </row>
    <row r="349" spans="1:21" x14ac:dyDescent="0.35">
      <c r="A349" t="s">
        <v>389</v>
      </c>
      <c r="B349" s="2">
        <v>152.54</v>
      </c>
      <c r="C349" s="2">
        <v>27.66</v>
      </c>
      <c r="D349" s="2">
        <v>48.92</v>
      </c>
      <c r="E349" s="2">
        <v>185.35</v>
      </c>
      <c r="F349" s="2">
        <v>12.67</v>
      </c>
      <c r="G349">
        <v>2</v>
      </c>
      <c r="H349">
        <v>8</v>
      </c>
      <c r="I349">
        <v>14</v>
      </c>
      <c r="J349">
        <v>0</v>
      </c>
      <c r="K349">
        <v>0</v>
      </c>
      <c r="L349">
        <v>2</v>
      </c>
      <c r="M349" s="1">
        <f t="shared" si="40"/>
        <v>-0.81867051265241897</v>
      </c>
      <c r="N349" s="1">
        <f t="shared" si="41"/>
        <v>-0.67929723351252136</v>
      </c>
      <c r="O349" s="1">
        <f t="shared" si="42"/>
        <v>0.21509112363970107</v>
      </c>
      <c r="P349">
        <f t="shared" si="43"/>
        <v>426</v>
      </c>
      <c r="Q349">
        <f t="shared" si="44"/>
        <v>374</v>
      </c>
      <c r="R349">
        <f t="shared" si="45"/>
        <v>220</v>
      </c>
      <c r="S349">
        <f t="shared" si="46"/>
        <v>1020</v>
      </c>
      <c r="T349">
        <f t="shared" si="47"/>
        <v>348</v>
      </c>
      <c r="U349" s="1" cm="1">
        <f t="array" ref="U349">MIN(ABS(M349:O349))</f>
        <v>0.21509112363970107</v>
      </c>
    </row>
    <row r="350" spans="1:21" x14ac:dyDescent="0.35">
      <c r="A350" t="s">
        <v>319</v>
      </c>
      <c r="B350" s="2">
        <v>139.29</v>
      </c>
      <c r="C350" s="2">
        <v>65.83</v>
      </c>
      <c r="D350" s="2">
        <v>59.79</v>
      </c>
      <c r="E350" s="2">
        <v>27.12</v>
      </c>
      <c r="F350" s="2">
        <v>8.24</v>
      </c>
      <c r="G350">
        <v>2</v>
      </c>
      <c r="H350">
        <v>10</v>
      </c>
      <c r="I350">
        <v>18</v>
      </c>
      <c r="J350">
        <v>1</v>
      </c>
      <c r="K350">
        <v>5</v>
      </c>
      <c r="L350">
        <v>9</v>
      </c>
      <c r="M350" s="1">
        <f t="shared" si="40"/>
        <v>-0.52738890085433265</v>
      </c>
      <c r="N350" s="1">
        <f t="shared" si="41"/>
        <v>-0.57075166917940989</v>
      </c>
      <c r="O350" s="1">
        <f t="shared" si="42"/>
        <v>-0.8052982985138919</v>
      </c>
      <c r="P350">
        <f t="shared" si="43"/>
        <v>214</v>
      </c>
      <c r="Q350">
        <f t="shared" si="44"/>
        <v>304</v>
      </c>
      <c r="R350">
        <f t="shared" si="45"/>
        <v>503</v>
      </c>
      <c r="S350">
        <f t="shared" si="46"/>
        <v>1021</v>
      </c>
      <c r="T350">
        <f t="shared" si="47"/>
        <v>349</v>
      </c>
      <c r="U350" s="1" cm="1">
        <f t="array" ref="U350">MIN(ABS(M350:O350))</f>
        <v>0.52738890085433265</v>
      </c>
    </row>
    <row r="351" spans="1:21" x14ac:dyDescent="0.35">
      <c r="A351" t="s">
        <v>355</v>
      </c>
      <c r="B351" s="2">
        <v>188.43</v>
      </c>
      <c r="C351" s="2">
        <v>62.72</v>
      </c>
      <c r="D351" s="2">
        <v>72.319999999999993</v>
      </c>
      <c r="E351" s="2">
        <v>114.37</v>
      </c>
      <c r="F351" s="2">
        <v>12.49</v>
      </c>
      <c r="G351">
        <v>0</v>
      </c>
      <c r="H351">
        <v>2</v>
      </c>
      <c r="I351">
        <v>5</v>
      </c>
      <c r="J351">
        <v>0</v>
      </c>
      <c r="K351">
        <v>0</v>
      </c>
      <c r="L351">
        <v>2</v>
      </c>
      <c r="M351" s="1">
        <f t="shared" si="40"/>
        <v>-0.66714429761715222</v>
      </c>
      <c r="N351" s="1">
        <f t="shared" si="41"/>
        <v>-0.61619699623202262</v>
      </c>
      <c r="O351" s="1">
        <f t="shared" si="42"/>
        <v>-0.39303720214403226</v>
      </c>
      <c r="P351">
        <f t="shared" si="43"/>
        <v>303</v>
      </c>
      <c r="Q351">
        <f t="shared" si="44"/>
        <v>340</v>
      </c>
      <c r="R351">
        <f t="shared" si="45"/>
        <v>384</v>
      </c>
      <c r="S351">
        <f t="shared" si="46"/>
        <v>1027</v>
      </c>
      <c r="T351">
        <f t="shared" si="47"/>
        <v>350</v>
      </c>
      <c r="U351" s="1" cm="1">
        <f t="array" ref="U351">MIN(ABS(M351:O351))</f>
        <v>0.39303720214403226</v>
      </c>
    </row>
    <row r="352" spans="1:21" x14ac:dyDescent="0.35">
      <c r="A352" t="s">
        <v>395</v>
      </c>
      <c r="B352" s="2">
        <v>120.08</v>
      </c>
      <c r="C352" s="2">
        <v>23.52</v>
      </c>
      <c r="D352" s="2">
        <v>37.29</v>
      </c>
      <c r="E352" s="2">
        <v>134.6</v>
      </c>
      <c r="F352" s="2">
        <v>9.81</v>
      </c>
      <c r="G352">
        <v>2</v>
      </c>
      <c r="H352">
        <v>10</v>
      </c>
      <c r="I352">
        <v>18</v>
      </c>
      <c r="J352">
        <v>0</v>
      </c>
      <c r="K352">
        <v>0</v>
      </c>
      <c r="L352">
        <v>2</v>
      </c>
      <c r="M352" s="1">
        <f t="shared" si="40"/>
        <v>-0.80413057961359091</v>
      </c>
      <c r="N352" s="1">
        <f t="shared" si="41"/>
        <v>-0.6894570286475683</v>
      </c>
      <c r="O352" s="1">
        <f t="shared" si="42"/>
        <v>0.12091938707528316</v>
      </c>
      <c r="P352">
        <f t="shared" si="43"/>
        <v>412</v>
      </c>
      <c r="Q352">
        <f t="shared" si="44"/>
        <v>380</v>
      </c>
      <c r="R352">
        <f t="shared" si="45"/>
        <v>235</v>
      </c>
      <c r="S352">
        <f t="shared" si="46"/>
        <v>1027</v>
      </c>
      <c r="T352">
        <f t="shared" si="47"/>
        <v>350</v>
      </c>
      <c r="U352" s="1" cm="1">
        <f t="array" ref="U352">MIN(ABS(M352:O352))</f>
        <v>0.12091938707528316</v>
      </c>
    </row>
    <row r="353" spans="1:21" x14ac:dyDescent="0.35">
      <c r="A353" t="s">
        <v>360</v>
      </c>
      <c r="B353" s="2">
        <v>218.82</v>
      </c>
      <c r="C353" s="2">
        <v>82.48</v>
      </c>
      <c r="D353" s="2">
        <v>80.069999999999993</v>
      </c>
      <c r="E353" s="2">
        <v>116.6</v>
      </c>
      <c r="F353" s="2">
        <v>11.61</v>
      </c>
      <c r="G353">
        <v>-3</v>
      </c>
      <c r="H353">
        <v>1</v>
      </c>
      <c r="I353">
        <v>5</v>
      </c>
      <c r="J353">
        <v>0</v>
      </c>
      <c r="K353">
        <v>0</v>
      </c>
      <c r="L353">
        <v>2</v>
      </c>
      <c r="M353" s="1">
        <f t="shared" si="40"/>
        <v>-0.62306918928799926</v>
      </c>
      <c r="N353" s="1">
        <f t="shared" si="41"/>
        <v>-0.63408280778722237</v>
      </c>
      <c r="O353" s="1">
        <f t="shared" si="42"/>
        <v>-0.46714194314962065</v>
      </c>
      <c r="P353">
        <f t="shared" si="43"/>
        <v>276</v>
      </c>
      <c r="Q353">
        <f t="shared" si="44"/>
        <v>345</v>
      </c>
      <c r="R353">
        <f t="shared" si="45"/>
        <v>407</v>
      </c>
      <c r="S353">
        <f t="shared" si="46"/>
        <v>1028</v>
      </c>
      <c r="T353">
        <f t="shared" si="47"/>
        <v>352</v>
      </c>
      <c r="U353" s="1" cm="1">
        <f t="array" ref="U353">MIN(ABS(M353:O353))</f>
        <v>0.46714194314962065</v>
      </c>
    </row>
    <row r="354" spans="1:21" x14ac:dyDescent="0.35">
      <c r="A354" t="s">
        <v>361</v>
      </c>
      <c r="B354" s="2">
        <v>79.040000000000006</v>
      </c>
      <c r="C354" s="2">
        <v>28.69</v>
      </c>
      <c r="D354" s="2">
        <v>28.74</v>
      </c>
      <c r="E354" s="2">
        <v>44.99</v>
      </c>
      <c r="F354" s="2">
        <v>11.95</v>
      </c>
      <c r="G354">
        <v>-2</v>
      </c>
      <c r="H354">
        <v>1</v>
      </c>
      <c r="I354">
        <v>5</v>
      </c>
      <c r="J354">
        <v>0</v>
      </c>
      <c r="K354">
        <v>0</v>
      </c>
      <c r="L354">
        <v>2</v>
      </c>
      <c r="M354" s="1">
        <f t="shared" si="40"/>
        <v>-0.63701923076923084</v>
      </c>
      <c r="N354" s="1">
        <f t="shared" si="41"/>
        <v>-0.63638663967611342</v>
      </c>
      <c r="O354" s="1">
        <f t="shared" si="42"/>
        <v>-0.43079453441295545</v>
      </c>
      <c r="P354">
        <f t="shared" si="43"/>
        <v>283</v>
      </c>
      <c r="Q354">
        <f t="shared" si="44"/>
        <v>346</v>
      </c>
      <c r="R354">
        <f t="shared" si="45"/>
        <v>399</v>
      </c>
      <c r="S354">
        <f t="shared" si="46"/>
        <v>1028</v>
      </c>
      <c r="T354">
        <f t="shared" si="47"/>
        <v>352</v>
      </c>
      <c r="U354" s="1" cm="1">
        <f t="array" ref="U354">MIN(ABS(M354:O354))</f>
        <v>0.43079453441295545</v>
      </c>
    </row>
    <row r="355" spans="1:21" x14ac:dyDescent="0.35">
      <c r="A355" t="s">
        <v>358</v>
      </c>
      <c r="B355" s="2">
        <v>18.3</v>
      </c>
      <c r="C355" s="2">
        <v>6.49</v>
      </c>
      <c r="D355" s="2">
        <v>6.83</v>
      </c>
      <c r="E355" s="2">
        <v>10.53</v>
      </c>
      <c r="F355" s="2">
        <v>6</v>
      </c>
      <c r="G355">
        <v>-3</v>
      </c>
      <c r="H355">
        <v>1</v>
      </c>
      <c r="I355">
        <v>5</v>
      </c>
      <c r="J355">
        <v>1</v>
      </c>
      <c r="K355">
        <v>5</v>
      </c>
      <c r="L355">
        <v>9</v>
      </c>
      <c r="M355" s="1">
        <f t="shared" si="40"/>
        <v>-0.64535519125683061</v>
      </c>
      <c r="N355" s="1">
        <f t="shared" si="41"/>
        <v>-0.62677595628415306</v>
      </c>
      <c r="O355" s="1">
        <f t="shared" si="42"/>
        <v>-0.42459016393442628</v>
      </c>
      <c r="P355">
        <f t="shared" si="43"/>
        <v>289</v>
      </c>
      <c r="Q355">
        <f t="shared" si="44"/>
        <v>343</v>
      </c>
      <c r="R355">
        <f t="shared" si="45"/>
        <v>397</v>
      </c>
      <c r="S355">
        <f t="shared" si="46"/>
        <v>1029</v>
      </c>
      <c r="T355">
        <f t="shared" si="47"/>
        <v>354</v>
      </c>
      <c r="U355" s="1" cm="1">
        <f t="array" ref="U355">MIN(ABS(M355:O355))</f>
        <v>0.42459016393442628</v>
      </c>
    </row>
    <row r="356" spans="1:21" x14ac:dyDescent="0.35">
      <c r="A356" t="s">
        <v>405</v>
      </c>
      <c r="B356" s="2">
        <v>193.04</v>
      </c>
      <c r="C356" s="2">
        <v>27.94</v>
      </c>
      <c r="D356" s="2">
        <v>56.43</v>
      </c>
      <c r="E356" s="2">
        <v>275</v>
      </c>
      <c r="F356" s="2">
        <v>8.5399999999999991</v>
      </c>
      <c r="G356">
        <v>2</v>
      </c>
      <c r="H356">
        <v>10</v>
      </c>
      <c r="I356">
        <v>18</v>
      </c>
      <c r="J356">
        <v>1</v>
      </c>
      <c r="K356">
        <v>3</v>
      </c>
      <c r="L356">
        <v>5</v>
      </c>
      <c r="M356" s="1">
        <f t="shared" si="40"/>
        <v>-0.85526315789473684</v>
      </c>
      <c r="N356" s="1">
        <f t="shared" si="41"/>
        <v>-0.70767716535433067</v>
      </c>
      <c r="O356" s="1">
        <f t="shared" si="42"/>
        <v>0.42457521757148786</v>
      </c>
      <c r="P356">
        <f t="shared" si="43"/>
        <v>450</v>
      </c>
      <c r="Q356">
        <f t="shared" si="44"/>
        <v>390</v>
      </c>
      <c r="R356">
        <f t="shared" si="45"/>
        <v>189</v>
      </c>
      <c r="S356">
        <f t="shared" si="46"/>
        <v>1029</v>
      </c>
      <c r="T356">
        <f t="shared" si="47"/>
        <v>354</v>
      </c>
      <c r="U356" s="1" cm="1">
        <f t="array" ref="U356">MIN(ABS(M356:O356))</f>
        <v>0.42457521757148786</v>
      </c>
    </row>
    <row r="357" spans="1:21" x14ac:dyDescent="0.35">
      <c r="A357" t="s">
        <v>363</v>
      </c>
      <c r="B357" s="2">
        <v>209.82</v>
      </c>
      <c r="C357" s="2">
        <v>72.34</v>
      </c>
      <c r="D357" s="2">
        <v>75.7</v>
      </c>
      <c r="E357" s="2">
        <v>115.66</v>
      </c>
      <c r="F357" s="2">
        <v>11.3</v>
      </c>
      <c r="G357">
        <v>-1</v>
      </c>
      <c r="H357">
        <v>1</v>
      </c>
      <c r="I357">
        <v>5</v>
      </c>
      <c r="J357">
        <v>0</v>
      </c>
      <c r="K357">
        <v>1</v>
      </c>
      <c r="L357">
        <v>2</v>
      </c>
      <c r="M357" s="1">
        <f t="shared" si="40"/>
        <v>-0.65522829091602319</v>
      </c>
      <c r="N357" s="1">
        <f t="shared" si="41"/>
        <v>-0.6392145648651224</v>
      </c>
      <c r="O357" s="1">
        <f t="shared" si="42"/>
        <v>-0.44876560861690973</v>
      </c>
      <c r="P357">
        <f t="shared" si="43"/>
        <v>294</v>
      </c>
      <c r="Q357">
        <f t="shared" si="44"/>
        <v>348</v>
      </c>
      <c r="R357">
        <f t="shared" si="45"/>
        <v>402</v>
      </c>
      <c r="S357">
        <f t="shared" si="46"/>
        <v>1044</v>
      </c>
      <c r="T357">
        <f t="shared" si="47"/>
        <v>356</v>
      </c>
      <c r="U357" s="1" cm="1">
        <f t="array" ref="U357">MIN(ABS(M357:O357))</f>
        <v>0.44876560861690973</v>
      </c>
    </row>
    <row r="358" spans="1:21" x14ac:dyDescent="0.35">
      <c r="A358" t="s">
        <v>372</v>
      </c>
      <c r="B358" s="2">
        <v>76.97</v>
      </c>
      <c r="C358" s="2">
        <v>25.44</v>
      </c>
      <c r="D358" s="2">
        <v>26.37</v>
      </c>
      <c r="E358" s="2">
        <v>46.58</v>
      </c>
      <c r="F358" s="2">
        <v>13.59</v>
      </c>
      <c r="G358">
        <v>-2</v>
      </c>
      <c r="H358">
        <v>1</v>
      </c>
      <c r="I358">
        <v>5</v>
      </c>
      <c r="J358">
        <v>0</v>
      </c>
      <c r="K358">
        <v>0</v>
      </c>
      <c r="L358">
        <v>2</v>
      </c>
      <c r="M358" s="1">
        <f t="shared" si="40"/>
        <v>-0.6694816162141094</v>
      </c>
      <c r="N358" s="1">
        <f t="shared" si="41"/>
        <v>-0.65739898661816287</v>
      </c>
      <c r="O358" s="1">
        <f t="shared" si="42"/>
        <v>-0.39482915421592835</v>
      </c>
      <c r="P358">
        <f t="shared" si="43"/>
        <v>305</v>
      </c>
      <c r="Q358">
        <f t="shared" si="44"/>
        <v>357</v>
      </c>
      <c r="R358">
        <f t="shared" si="45"/>
        <v>386</v>
      </c>
      <c r="S358">
        <f t="shared" si="46"/>
        <v>1048</v>
      </c>
      <c r="T358">
        <f t="shared" si="47"/>
        <v>357</v>
      </c>
      <c r="U358" s="1" cm="1">
        <f t="array" ref="U358">MIN(ABS(M358:O358))</f>
        <v>0.39482915421592835</v>
      </c>
    </row>
    <row r="359" spans="1:21" x14ac:dyDescent="0.35">
      <c r="A359" t="s">
        <v>356</v>
      </c>
      <c r="B359" s="2">
        <v>262.2</v>
      </c>
      <c r="C359" s="2">
        <v>76.099999999999994</v>
      </c>
      <c r="D359" s="2">
        <v>99.28</v>
      </c>
      <c r="E359" s="2">
        <v>170.17</v>
      </c>
      <c r="F359" s="2">
        <v>9.6999999999999993</v>
      </c>
      <c r="G359">
        <v>1</v>
      </c>
      <c r="H359">
        <v>3</v>
      </c>
      <c r="I359">
        <v>6</v>
      </c>
      <c r="J359">
        <v>0</v>
      </c>
      <c r="K359">
        <v>1</v>
      </c>
      <c r="L359">
        <v>2</v>
      </c>
      <c r="M359" s="1">
        <f t="shared" si="40"/>
        <v>-0.70976353928299007</v>
      </c>
      <c r="N359" s="1">
        <f t="shared" si="41"/>
        <v>-0.62135774218154083</v>
      </c>
      <c r="O359" s="1">
        <f t="shared" si="42"/>
        <v>-0.35099160945842867</v>
      </c>
      <c r="P359">
        <f t="shared" si="43"/>
        <v>340</v>
      </c>
      <c r="Q359">
        <f t="shared" si="44"/>
        <v>341</v>
      </c>
      <c r="R359">
        <f t="shared" si="45"/>
        <v>370</v>
      </c>
      <c r="S359">
        <f t="shared" si="46"/>
        <v>1051</v>
      </c>
      <c r="T359">
        <f t="shared" si="47"/>
        <v>358</v>
      </c>
      <c r="U359" s="1" cm="1">
        <f t="array" ref="U359">MIN(ABS(M359:O359))</f>
        <v>0.35099160945842867</v>
      </c>
    </row>
    <row r="360" spans="1:21" x14ac:dyDescent="0.35">
      <c r="A360" t="s">
        <v>365</v>
      </c>
      <c r="B360" s="2">
        <v>166.38</v>
      </c>
      <c r="C360" s="2">
        <v>53.77</v>
      </c>
      <c r="D360" s="2">
        <v>59.78</v>
      </c>
      <c r="E360" s="2">
        <v>100.44</v>
      </c>
      <c r="F360" s="2">
        <v>12.24</v>
      </c>
      <c r="G360">
        <v>0</v>
      </c>
      <c r="H360">
        <v>1</v>
      </c>
      <c r="I360">
        <v>5</v>
      </c>
      <c r="J360">
        <v>0</v>
      </c>
      <c r="K360">
        <v>0</v>
      </c>
      <c r="L360">
        <v>2</v>
      </c>
      <c r="M360" s="1">
        <f t="shared" si="40"/>
        <v>-0.67682413751652848</v>
      </c>
      <c r="N360" s="1">
        <f t="shared" si="41"/>
        <v>-0.64070200745281891</v>
      </c>
      <c r="O360" s="1">
        <f t="shared" si="42"/>
        <v>-0.39632167327803824</v>
      </c>
      <c r="P360">
        <f t="shared" si="43"/>
        <v>314</v>
      </c>
      <c r="Q360">
        <f t="shared" si="44"/>
        <v>350</v>
      </c>
      <c r="R360">
        <f t="shared" si="45"/>
        <v>387</v>
      </c>
      <c r="S360">
        <f t="shared" si="46"/>
        <v>1051</v>
      </c>
      <c r="T360">
        <f t="shared" si="47"/>
        <v>358</v>
      </c>
      <c r="U360" s="1" cm="1">
        <f t="array" ref="U360">MIN(ABS(M360:O360))</f>
        <v>0.39632167327803824</v>
      </c>
    </row>
    <row r="361" spans="1:21" x14ac:dyDescent="0.35">
      <c r="A361" t="s">
        <v>362</v>
      </c>
      <c r="B361" s="2">
        <v>116.3</v>
      </c>
      <c r="C361" s="2">
        <v>37.619999999999997</v>
      </c>
      <c r="D361" s="2">
        <v>42.18</v>
      </c>
      <c r="E361" s="2">
        <v>68.209999999999994</v>
      </c>
      <c r="F361" s="2">
        <v>12.46</v>
      </c>
      <c r="G361">
        <v>0</v>
      </c>
      <c r="H361">
        <v>1</v>
      </c>
      <c r="I361">
        <v>5</v>
      </c>
      <c r="J361">
        <v>0</v>
      </c>
      <c r="K361">
        <v>0</v>
      </c>
      <c r="L361">
        <v>2</v>
      </c>
      <c r="M361" s="1">
        <f t="shared" si="40"/>
        <v>-0.67652622527944972</v>
      </c>
      <c r="N361" s="1">
        <f t="shared" si="41"/>
        <v>-0.63731728288907996</v>
      </c>
      <c r="O361" s="1">
        <f t="shared" si="42"/>
        <v>-0.41349957007738614</v>
      </c>
      <c r="P361">
        <f t="shared" si="43"/>
        <v>313</v>
      </c>
      <c r="Q361">
        <f t="shared" si="44"/>
        <v>347</v>
      </c>
      <c r="R361">
        <f t="shared" si="45"/>
        <v>392</v>
      </c>
      <c r="S361">
        <f t="shared" si="46"/>
        <v>1052</v>
      </c>
      <c r="T361">
        <f t="shared" si="47"/>
        <v>360</v>
      </c>
      <c r="U361" s="1" cm="1">
        <f t="array" ref="U361">MIN(ABS(M361:O361))</f>
        <v>0.41349957007738614</v>
      </c>
    </row>
    <row r="362" spans="1:21" x14ac:dyDescent="0.35">
      <c r="A362" t="s">
        <v>393</v>
      </c>
      <c r="B362" s="2">
        <v>162.62</v>
      </c>
      <c r="C362" s="2">
        <v>32.369999999999997</v>
      </c>
      <c r="D362" s="2">
        <v>51.66</v>
      </c>
      <c r="E362" s="2">
        <v>159.82</v>
      </c>
      <c r="F362" s="2">
        <v>11.89</v>
      </c>
      <c r="G362">
        <v>1</v>
      </c>
      <c r="H362">
        <v>5</v>
      </c>
      <c r="I362">
        <v>10</v>
      </c>
      <c r="J362">
        <v>0</v>
      </c>
      <c r="K362">
        <v>0</v>
      </c>
      <c r="L362">
        <v>2</v>
      </c>
      <c r="M362" s="1">
        <f t="shared" si="40"/>
        <v>-0.80094699298979211</v>
      </c>
      <c r="N362" s="1">
        <f t="shared" si="41"/>
        <v>-0.68232689706063221</v>
      </c>
      <c r="O362" s="1">
        <f t="shared" si="42"/>
        <v>-1.721805435985746E-2</v>
      </c>
      <c r="P362">
        <f t="shared" si="43"/>
        <v>408</v>
      </c>
      <c r="Q362">
        <f t="shared" si="44"/>
        <v>378</v>
      </c>
      <c r="R362">
        <f t="shared" si="45"/>
        <v>268</v>
      </c>
      <c r="S362">
        <f t="shared" si="46"/>
        <v>1054</v>
      </c>
      <c r="T362">
        <f t="shared" si="47"/>
        <v>361</v>
      </c>
      <c r="U362" s="1" cm="1">
        <f t="array" ref="U362">MIN(ABS(M362:O362))</f>
        <v>1.721805435985746E-2</v>
      </c>
    </row>
    <row r="363" spans="1:21" x14ac:dyDescent="0.35">
      <c r="A363" t="s">
        <v>359</v>
      </c>
      <c r="B363" s="2">
        <v>97.55</v>
      </c>
      <c r="C363" s="2">
        <v>31.11</v>
      </c>
      <c r="D363" s="2">
        <v>35.799999999999997</v>
      </c>
      <c r="E363" s="2">
        <v>56.97</v>
      </c>
      <c r="F363" s="2">
        <v>13.18</v>
      </c>
      <c r="G363">
        <v>0</v>
      </c>
      <c r="H363">
        <v>2</v>
      </c>
      <c r="I363">
        <v>5</v>
      </c>
      <c r="J363">
        <v>0</v>
      </c>
      <c r="K363">
        <v>0</v>
      </c>
      <c r="L363">
        <v>2</v>
      </c>
      <c r="M363" s="1">
        <f t="shared" si="40"/>
        <v>-0.68108662224500249</v>
      </c>
      <c r="N363" s="1">
        <f t="shared" si="41"/>
        <v>-0.63300871348026655</v>
      </c>
      <c r="O363" s="1">
        <f t="shared" si="42"/>
        <v>-0.41599179907739625</v>
      </c>
      <c r="P363">
        <f t="shared" si="43"/>
        <v>318</v>
      </c>
      <c r="Q363">
        <f t="shared" si="44"/>
        <v>344</v>
      </c>
      <c r="R363">
        <f t="shared" si="45"/>
        <v>395</v>
      </c>
      <c r="S363">
        <f t="shared" si="46"/>
        <v>1057</v>
      </c>
      <c r="T363">
        <f t="shared" si="47"/>
        <v>362</v>
      </c>
      <c r="U363" s="1" cm="1">
        <f t="array" ref="U363">MIN(ABS(M363:O363))</f>
        <v>0.41599179907739625</v>
      </c>
    </row>
    <row r="364" spans="1:21" x14ac:dyDescent="0.35">
      <c r="A364" t="s">
        <v>368</v>
      </c>
      <c r="B364" s="2">
        <v>268.33999999999997</v>
      </c>
      <c r="C364" s="2">
        <v>84.77</v>
      </c>
      <c r="D364" s="2">
        <v>95.04</v>
      </c>
      <c r="E364" s="2">
        <v>165.74</v>
      </c>
      <c r="F364" s="2">
        <v>13.01</v>
      </c>
      <c r="G364">
        <v>0</v>
      </c>
      <c r="H364">
        <v>1</v>
      </c>
      <c r="I364">
        <v>5</v>
      </c>
      <c r="J364">
        <v>0</v>
      </c>
      <c r="K364">
        <v>0</v>
      </c>
      <c r="L364">
        <v>2</v>
      </c>
      <c r="M364" s="1">
        <f t="shared" si="40"/>
        <v>-0.68409480509801002</v>
      </c>
      <c r="N364" s="1">
        <f t="shared" si="41"/>
        <v>-0.64582246403816046</v>
      </c>
      <c r="O364" s="1">
        <f t="shared" si="42"/>
        <v>-0.382350749049713</v>
      </c>
      <c r="P364">
        <f t="shared" si="43"/>
        <v>322</v>
      </c>
      <c r="Q364">
        <f t="shared" si="44"/>
        <v>353</v>
      </c>
      <c r="R364">
        <f t="shared" si="45"/>
        <v>382</v>
      </c>
      <c r="S364">
        <f t="shared" si="46"/>
        <v>1057</v>
      </c>
      <c r="T364">
        <f t="shared" si="47"/>
        <v>362</v>
      </c>
      <c r="U364" s="1" cm="1">
        <f t="array" ref="U364">MIN(ABS(M364:O364))</f>
        <v>0.382350749049713</v>
      </c>
    </row>
    <row r="365" spans="1:21" x14ac:dyDescent="0.35">
      <c r="A365" t="s">
        <v>376</v>
      </c>
      <c r="B365" s="2">
        <v>161.21</v>
      </c>
      <c r="C365" s="2">
        <v>52.4</v>
      </c>
      <c r="D365" s="2">
        <v>54.99</v>
      </c>
      <c r="E365" s="2">
        <v>95.25</v>
      </c>
      <c r="F365" s="2">
        <v>12.56</v>
      </c>
      <c r="G365">
        <v>-2</v>
      </c>
      <c r="H365">
        <v>1</v>
      </c>
      <c r="I365">
        <v>5</v>
      </c>
      <c r="J365">
        <v>0</v>
      </c>
      <c r="K365">
        <v>0</v>
      </c>
      <c r="L365">
        <v>2</v>
      </c>
      <c r="M365" s="1">
        <f t="shared" si="40"/>
        <v>-0.67495812914831588</v>
      </c>
      <c r="N365" s="1">
        <f t="shared" si="41"/>
        <v>-0.65889212827988342</v>
      </c>
      <c r="O365" s="1">
        <f t="shared" si="42"/>
        <v>-0.409155759568265</v>
      </c>
      <c r="P365">
        <f t="shared" si="43"/>
        <v>311</v>
      </c>
      <c r="Q365">
        <f t="shared" si="44"/>
        <v>361</v>
      </c>
      <c r="R365">
        <f t="shared" si="45"/>
        <v>389</v>
      </c>
      <c r="S365">
        <f t="shared" si="46"/>
        <v>1061</v>
      </c>
      <c r="T365">
        <f t="shared" si="47"/>
        <v>364</v>
      </c>
      <c r="U365" s="1" cm="1">
        <f t="array" ref="U365">MIN(ABS(M365:O365))</f>
        <v>0.409155759568265</v>
      </c>
    </row>
    <row r="366" spans="1:21" x14ac:dyDescent="0.35">
      <c r="A366" t="s">
        <v>384</v>
      </c>
      <c r="B366" s="2">
        <v>387.78</v>
      </c>
      <c r="C366" s="2">
        <v>83.53</v>
      </c>
      <c r="D366" s="2">
        <v>127.46</v>
      </c>
      <c r="E366" s="2">
        <v>340.59</v>
      </c>
      <c r="F366" s="2">
        <v>10.66</v>
      </c>
      <c r="G366">
        <v>2</v>
      </c>
      <c r="H366">
        <v>7</v>
      </c>
      <c r="I366">
        <v>12</v>
      </c>
      <c r="J366">
        <v>0</v>
      </c>
      <c r="K366">
        <v>1</v>
      </c>
      <c r="L366">
        <v>2</v>
      </c>
      <c r="M366" s="1">
        <f t="shared" si="40"/>
        <v>-0.78459435762545771</v>
      </c>
      <c r="N366" s="1">
        <f t="shared" si="41"/>
        <v>-0.67130847387694059</v>
      </c>
      <c r="O366" s="1">
        <f t="shared" si="42"/>
        <v>-0.12169271236267987</v>
      </c>
      <c r="P366">
        <f t="shared" si="43"/>
        <v>398</v>
      </c>
      <c r="Q366">
        <f t="shared" si="44"/>
        <v>369</v>
      </c>
      <c r="R366">
        <f t="shared" si="45"/>
        <v>300</v>
      </c>
      <c r="S366">
        <f t="shared" si="46"/>
        <v>1067</v>
      </c>
      <c r="T366">
        <f t="shared" si="47"/>
        <v>365</v>
      </c>
      <c r="U366" s="1" cm="1">
        <f t="array" ref="U366">MIN(ABS(M366:O366))</f>
        <v>0.12169271236267987</v>
      </c>
    </row>
    <row r="367" spans="1:21" x14ac:dyDescent="0.35">
      <c r="A367" t="s">
        <v>367</v>
      </c>
      <c r="B367" s="2">
        <v>121.35</v>
      </c>
      <c r="C367" s="2">
        <v>36.35</v>
      </c>
      <c r="D367" s="2">
        <v>43.19</v>
      </c>
      <c r="E367" s="2">
        <v>71.05</v>
      </c>
      <c r="F367" s="2">
        <v>12.85</v>
      </c>
      <c r="G367">
        <v>0</v>
      </c>
      <c r="H367">
        <v>2</v>
      </c>
      <c r="I367">
        <v>5</v>
      </c>
      <c r="J367">
        <v>0</v>
      </c>
      <c r="K367">
        <v>0</v>
      </c>
      <c r="L367">
        <v>2</v>
      </c>
      <c r="M367" s="1">
        <f t="shared" si="40"/>
        <v>-0.70045323444581786</v>
      </c>
      <c r="N367" s="1">
        <f t="shared" si="41"/>
        <v>-0.64408735063864853</v>
      </c>
      <c r="O367" s="1">
        <f t="shared" si="42"/>
        <v>-0.41450350226617227</v>
      </c>
      <c r="P367">
        <f t="shared" si="43"/>
        <v>335</v>
      </c>
      <c r="Q367">
        <f t="shared" si="44"/>
        <v>352</v>
      </c>
      <c r="R367">
        <f t="shared" si="45"/>
        <v>393</v>
      </c>
      <c r="S367">
        <f t="shared" si="46"/>
        <v>1080</v>
      </c>
      <c r="T367">
        <f t="shared" si="47"/>
        <v>366</v>
      </c>
      <c r="U367" s="1" cm="1">
        <f t="array" ref="U367">MIN(ABS(M367:O367))</f>
        <v>0.41450350226617227</v>
      </c>
    </row>
    <row r="368" spans="1:21" x14ac:dyDescent="0.35">
      <c r="A368" t="s">
        <v>370</v>
      </c>
      <c r="B368" s="2">
        <v>67.650000000000006</v>
      </c>
      <c r="C368" s="2">
        <v>22.55</v>
      </c>
      <c r="D368" s="2">
        <v>23.68</v>
      </c>
      <c r="E368" s="2">
        <v>31.16</v>
      </c>
      <c r="F368" s="2">
        <v>11.73</v>
      </c>
      <c r="G368">
        <v>0</v>
      </c>
      <c r="H368">
        <v>1</v>
      </c>
      <c r="I368">
        <v>5</v>
      </c>
      <c r="J368">
        <v>0</v>
      </c>
      <c r="K368">
        <v>1</v>
      </c>
      <c r="L368">
        <v>2</v>
      </c>
      <c r="M368" s="1">
        <f t="shared" si="40"/>
        <v>-0.66666666666666674</v>
      </c>
      <c r="N368" s="1">
        <f t="shared" si="41"/>
        <v>-0.64996304508499636</v>
      </c>
      <c r="O368" s="1">
        <f t="shared" si="42"/>
        <v>-0.53939393939393943</v>
      </c>
      <c r="P368">
        <f t="shared" si="43"/>
        <v>301</v>
      </c>
      <c r="Q368">
        <f t="shared" si="44"/>
        <v>355</v>
      </c>
      <c r="R368">
        <f t="shared" si="45"/>
        <v>428</v>
      </c>
      <c r="S368">
        <f t="shared" si="46"/>
        <v>1084</v>
      </c>
      <c r="T368">
        <f t="shared" si="47"/>
        <v>367</v>
      </c>
      <c r="U368" s="1" cm="1">
        <f t="array" ref="U368">MIN(ABS(M368:O368))</f>
        <v>0.53939393939393943</v>
      </c>
    </row>
    <row r="369" spans="1:21" x14ac:dyDescent="0.35">
      <c r="A369" t="s">
        <v>373</v>
      </c>
      <c r="B369" s="2">
        <v>68.58</v>
      </c>
      <c r="C369" s="2">
        <v>21.52</v>
      </c>
      <c r="D369" s="2">
        <v>23.47</v>
      </c>
      <c r="E369" s="2">
        <v>36.75</v>
      </c>
      <c r="F369" s="2">
        <v>12.72</v>
      </c>
      <c r="G369">
        <v>0</v>
      </c>
      <c r="H369">
        <v>1</v>
      </c>
      <c r="I369">
        <v>5</v>
      </c>
      <c r="J369">
        <v>0</v>
      </c>
      <c r="K369">
        <v>0</v>
      </c>
      <c r="L369">
        <v>2</v>
      </c>
      <c r="M369" s="1">
        <f t="shared" si="40"/>
        <v>-0.68620589093030038</v>
      </c>
      <c r="N369" s="1">
        <f t="shared" si="41"/>
        <v>-0.65777194517352</v>
      </c>
      <c r="O369" s="1">
        <f t="shared" si="42"/>
        <v>-0.46412948381452312</v>
      </c>
      <c r="P369">
        <f t="shared" si="43"/>
        <v>325</v>
      </c>
      <c r="Q369">
        <f t="shared" si="44"/>
        <v>358</v>
      </c>
      <c r="R369">
        <f t="shared" si="45"/>
        <v>406</v>
      </c>
      <c r="S369">
        <f t="shared" si="46"/>
        <v>1089</v>
      </c>
      <c r="T369">
        <f t="shared" si="47"/>
        <v>368</v>
      </c>
      <c r="U369" s="1" cm="1">
        <f t="array" ref="U369">MIN(ABS(M369:O369))</f>
        <v>0.46412948381452312</v>
      </c>
    </row>
    <row r="370" spans="1:21" x14ac:dyDescent="0.35">
      <c r="A370" t="s">
        <v>398</v>
      </c>
      <c r="B370" s="2">
        <v>1252.43</v>
      </c>
      <c r="C370" s="2">
        <v>229.42</v>
      </c>
      <c r="D370" s="2">
        <v>382.06</v>
      </c>
      <c r="E370" s="2">
        <v>1133.9000000000001</v>
      </c>
      <c r="F370" s="2">
        <v>10.3</v>
      </c>
      <c r="G370">
        <v>2</v>
      </c>
      <c r="H370">
        <v>7</v>
      </c>
      <c r="I370">
        <v>13</v>
      </c>
      <c r="J370">
        <v>0</v>
      </c>
      <c r="K370">
        <v>1</v>
      </c>
      <c r="L370">
        <v>2</v>
      </c>
      <c r="M370" s="1">
        <f t="shared" si="40"/>
        <v>-0.81682010172225195</v>
      </c>
      <c r="N370" s="1">
        <f t="shared" si="41"/>
        <v>-0.69494502686776904</v>
      </c>
      <c r="O370" s="1">
        <f t="shared" si="42"/>
        <v>-9.4640019801505826E-2</v>
      </c>
      <c r="P370">
        <f t="shared" si="43"/>
        <v>421</v>
      </c>
      <c r="Q370">
        <f t="shared" si="44"/>
        <v>383</v>
      </c>
      <c r="R370">
        <f t="shared" si="45"/>
        <v>288</v>
      </c>
      <c r="S370">
        <f t="shared" si="46"/>
        <v>1092</v>
      </c>
      <c r="T370">
        <f t="shared" si="47"/>
        <v>369</v>
      </c>
      <c r="U370" s="1" cm="1">
        <f t="array" ref="U370">MIN(ABS(M370:O370))</f>
        <v>9.4640019801505826E-2</v>
      </c>
    </row>
    <row r="371" spans="1:21" x14ac:dyDescent="0.35">
      <c r="A371" t="s">
        <v>380</v>
      </c>
      <c r="B371" s="2">
        <v>101.77</v>
      </c>
      <c r="C371" s="2">
        <v>26.54</v>
      </c>
      <c r="D371" s="2">
        <v>34.07</v>
      </c>
      <c r="E371" s="2">
        <v>66.98</v>
      </c>
      <c r="F371" s="2">
        <v>11.19</v>
      </c>
      <c r="G371">
        <v>1</v>
      </c>
      <c r="H371">
        <v>2</v>
      </c>
      <c r="I371">
        <v>5</v>
      </c>
      <c r="J371">
        <v>0</v>
      </c>
      <c r="K371">
        <v>1</v>
      </c>
      <c r="L371">
        <v>2</v>
      </c>
      <c r="M371" s="1">
        <f t="shared" si="40"/>
        <v>-0.7392158789427139</v>
      </c>
      <c r="N371" s="1">
        <f t="shared" si="41"/>
        <v>-0.66522550849955775</v>
      </c>
      <c r="O371" s="1">
        <f t="shared" si="42"/>
        <v>-0.3418492679571582</v>
      </c>
      <c r="P371">
        <f t="shared" si="43"/>
        <v>365</v>
      </c>
      <c r="Q371">
        <f t="shared" si="44"/>
        <v>365</v>
      </c>
      <c r="R371">
        <f t="shared" si="45"/>
        <v>366</v>
      </c>
      <c r="S371">
        <f t="shared" si="46"/>
        <v>1096</v>
      </c>
      <c r="T371">
        <f t="shared" si="47"/>
        <v>370</v>
      </c>
      <c r="U371" s="1" cm="1">
        <f t="array" ref="U371">MIN(ABS(M371:O371))</f>
        <v>0.3418492679571582</v>
      </c>
    </row>
    <row r="372" spans="1:21" x14ac:dyDescent="0.35">
      <c r="A372" t="s">
        <v>414</v>
      </c>
      <c r="B372" s="2">
        <v>95.65</v>
      </c>
      <c r="C372" s="2">
        <v>16.93</v>
      </c>
      <c r="D372" s="2">
        <v>26.53</v>
      </c>
      <c r="E372" s="2">
        <v>92.66</v>
      </c>
      <c r="F372" s="2">
        <v>11.61</v>
      </c>
      <c r="G372">
        <v>2</v>
      </c>
      <c r="H372">
        <v>9</v>
      </c>
      <c r="I372">
        <v>17</v>
      </c>
      <c r="J372">
        <v>0</v>
      </c>
      <c r="K372">
        <v>1</v>
      </c>
      <c r="L372">
        <v>2</v>
      </c>
      <c r="M372" s="1">
        <f t="shared" si="40"/>
        <v>-0.82300052273915314</v>
      </c>
      <c r="N372" s="1">
        <f t="shared" si="41"/>
        <v>-0.72263460533193935</v>
      </c>
      <c r="O372" s="1">
        <f t="shared" si="42"/>
        <v>-3.1259801359121875E-2</v>
      </c>
      <c r="P372">
        <f t="shared" si="43"/>
        <v>430</v>
      </c>
      <c r="Q372">
        <f t="shared" si="44"/>
        <v>399</v>
      </c>
      <c r="R372">
        <f t="shared" si="45"/>
        <v>270</v>
      </c>
      <c r="S372">
        <f t="shared" si="46"/>
        <v>1099</v>
      </c>
      <c r="T372">
        <f t="shared" si="47"/>
        <v>371</v>
      </c>
      <c r="U372" s="1" cm="1">
        <f t="array" ref="U372">MIN(ABS(M372:O372))</f>
        <v>3.1259801359121875E-2</v>
      </c>
    </row>
    <row r="373" spans="1:21" x14ac:dyDescent="0.35">
      <c r="A373" t="s">
        <v>377</v>
      </c>
      <c r="B373" s="2">
        <v>109.46</v>
      </c>
      <c r="C373" s="2">
        <v>32.29</v>
      </c>
      <c r="D373" s="2">
        <v>37.22</v>
      </c>
      <c r="E373" s="2">
        <v>59.56</v>
      </c>
      <c r="F373" s="2">
        <v>12.91</v>
      </c>
      <c r="G373">
        <v>0</v>
      </c>
      <c r="H373">
        <v>2</v>
      </c>
      <c r="I373">
        <v>5</v>
      </c>
      <c r="J373">
        <v>0</v>
      </c>
      <c r="K373">
        <v>0</v>
      </c>
      <c r="L373">
        <v>2</v>
      </c>
      <c r="M373" s="1">
        <f t="shared" si="40"/>
        <v>-0.70500639503014795</v>
      </c>
      <c r="N373" s="1">
        <f t="shared" si="41"/>
        <v>-0.65996711127352459</v>
      </c>
      <c r="O373" s="1">
        <f t="shared" si="42"/>
        <v>-0.45587429197880502</v>
      </c>
      <c r="P373">
        <f t="shared" si="43"/>
        <v>337</v>
      </c>
      <c r="Q373">
        <f t="shared" si="44"/>
        <v>362</v>
      </c>
      <c r="R373">
        <f t="shared" si="45"/>
        <v>403</v>
      </c>
      <c r="S373">
        <f t="shared" si="46"/>
        <v>1102</v>
      </c>
      <c r="T373">
        <f t="shared" si="47"/>
        <v>372</v>
      </c>
      <c r="U373" s="1" cm="1">
        <f t="array" ref="U373">MIN(ABS(M373:O373))</f>
        <v>0.45587429197880502</v>
      </c>
    </row>
    <row r="374" spans="1:21" x14ac:dyDescent="0.35">
      <c r="A374" t="s">
        <v>375</v>
      </c>
      <c r="B374" s="2">
        <v>124.14</v>
      </c>
      <c r="C374" s="2">
        <v>37.81</v>
      </c>
      <c r="D374" s="2">
        <v>42.35</v>
      </c>
      <c r="E374" s="2">
        <v>64.02</v>
      </c>
      <c r="F374" s="2">
        <v>13.61</v>
      </c>
      <c r="G374">
        <v>0</v>
      </c>
      <c r="H374">
        <v>2</v>
      </c>
      <c r="I374">
        <v>5</v>
      </c>
      <c r="J374">
        <v>0</v>
      </c>
      <c r="K374">
        <v>0</v>
      </c>
      <c r="L374">
        <v>2</v>
      </c>
      <c r="M374" s="1">
        <f t="shared" si="40"/>
        <v>-0.69542452070243277</v>
      </c>
      <c r="N374" s="1">
        <f t="shared" si="41"/>
        <v>-0.65885290800708873</v>
      </c>
      <c r="O374" s="1">
        <f t="shared" si="42"/>
        <v>-0.48429192846785896</v>
      </c>
      <c r="P374">
        <f t="shared" si="43"/>
        <v>332</v>
      </c>
      <c r="Q374">
        <f t="shared" si="44"/>
        <v>360</v>
      </c>
      <c r="R374">
        <f t="shared" si="45"/>
        <v>412</v>
      </c>
      <c r="S374">
        <f t="shared" si="46"/>
        <v>1104</v>
      </c>
      <c r="T374">
        <f t="shared" si="47"/>
        <v>373</v>
      </c>
      <c r="U374" s="1" cm="1">
        <f t="array" ref="U374">MIN(ABS(M374:O374))</f>
        <v>0.48429192846785896</v>
      </c>
    </row>
    <row r="375" spans="1:21" x14ac:dyDescent="0.35">
      <c r="A375" t="s">
        <v>388</v>
      </c>
      <c r="B375" s="2">
        <v>176.07</v>
      </c>
      <c r="C375" s="2">
        <v>38.61</v>
      </c>
      <c r="D375" s="2">
        <v>56.76</v>
      </c>
      <c r="E375" s="2">
        <v>131.79</v>
      </c>
      <c r="F375" s="2">
        <v>12.21</v>
      </c>
      <c r="G375">
        <v>1</v>
      </c>
      <c r="H375">
        <v>5</v>
      </c>
      <c r="I375">
        <v>9</v>
      </c>
      <c r="J375">
        <v>0</v>
      </c>
      <c r="K375">
        <v>0</v>
      </c>
      <c r="L375">
        <v>2</v>
      </c>
      <c r="M375" s="1">
        <f t="shared" si="40"/>
        <v>-0.78071221673198155</v>
      </c>
      <c r="N375" s="1">
        <f t="shared" si="41"/>
        <v>-0.67762821605043455</v>
      </c>
      <c r="O375" s="1">
        <f t="shared" si="42"/>
        <v>-0.25149088430737776</v>
      </c>
      <c r="P375">
        <f t="shared" si="43"/>
        <v>395</v>
      </c>
      <c r="Q375">
        <f t="shared" si="44"/>
        <v>373</v>
      </c>
      <c r="R375">
        <f t="shared" si="45"/>
        <v>336</v>
      </c>
      <c r="S375">
        <f t="shared" si="46"/>
        <v>1104</v>
      </c>
      <c r="T375">
        <f t="shared" si="47"/>
        <v>373</v>
      </c>
      <c r="U375" s="1" cm="1">
        <f t="array" ref="U375">MIN(ABS(M375:O375))</f>
        <v>0.25149088430737776</v>
      </c>
    </row>
    <row r="376" spans="1:21" x14ac:dyDescent="0.35">
      <c r="A376" t="s">
        <v>391</v>
      </c>
      <c r="B376" s="2">
        <v>127.64</v>
      </c>
      <c r="C376" s="2">
        <v>35.44</v>
      </c>
      <c r="D376" s="2">
        <v>40.770000000000003</v>
      </c>
      <c r="E376" s="2">
        <v>80.400000000000006</v>
      </c>
      <c r="F376" s="2">
        <v>12.11</v>
      </c>
      <c r="G376">
        <v>0</v>
      </c>
      <c r="H376">
        <v>1</v>
      </c>
      <c r="I376">
        <v>5</v>
      </c>
      <c r="J376">
        <v>0</v>
      </c>
      <c r="K376">
        <v>0</v>
      </c>
      <c r="L376">
        <v>2</v>
      </c>
      <c r="M376" s="1">
        <f t="shared" si="40"/>
        <v>-0.72234409276088996</v>
      </c>
      <c r="N376" s="1">
        <f t="shared" si="41"/>
        <v>-0.68058602319022254</v>
      </c>
      <c r="O376" s="1">
        <f t="shared" si="42"/>
        <v>-0.37010341585709805</v>
      </c>
      <c r="P376">
        <f t="shared" si="43"/>
        <v>352</v>
      </c>
      <c r="Q376">
        <f t="shared" si="44"/>
        <v>376</v>
      </c>
      <c r="R376">
        <f t="shared" si="45"/>
        <v>378</v>
      </c>
      <c r="S376">
        <f t="shared" si="46"/>
        <v>1106</v>
      </c>
      <c r="T376">
        <f t="shared" si="47"/>
        <v>375</v>
      </c>
      <c r="U376" s="1" cm="1">
        <f t="array" ref="U376">MIN(ABS(M376:O376))</f>
        <v>0.37010341585709805</v>
      </c>
    </row>
    <row r="377" spans="1:21" x14ac:dyDescent="0.35">
      <c r="A377" t="s">
        <v>382</v>
      </c>
      <c r="B377" s="2">
        <v>109.26</v>
      </c>
      <c r="C377" s="2">
        <v>33.89</v>
      </c>
      <c r="D377" s="2">
        <v>36.06</v>
      </c>
      <c r="E377" s="2">
        <v>55.13</v>
      </c>
      <c r="F377" s="2">
        <v>11.98</v>
      </c>
      <c r="G377">
        <v>0</v>
      </c>
      <c r="H377">
        <v>1</v>
      </c>
      <c r="I377">
        <v>5</v>
      </c>
      <c r="J377">
        <v>0</v>
      </c>
      <c r="K377">
        <v>0</v>
      </c>
      <c r="L377">
        <v>2</v>
      </c>
      <c r="M377" s="1">
        <f t="shared" si="40"/>
        <v>-0.68982244188175001</v>
      </c>
      <c r="N377" s="1">
        <f t="shared" si="41"/>
        <v>-0.66996155958264691</v>
      </c>
      <c r="O377" s="1">
        <f t="shared" si="42"/>
        <v>-0.4954237598389164</v>
      </c>
      <c r="P377">
        <f t="shared" si="43"/>
        <v>327</v>
      </c>
      <c r="Q377">
        <f t="shared" si="44"/>
        <v>367</v>
      </c>
      <c r="R377">
        <f t="shared" si="45"/>
        <v>414</v>
      </c>
      <c r="S377">
        <f t="shared" si="46"/>
        <v>1108</v>
      </c>
      <c r="T377">
        <f t="shared" si="47"/>
        <v>376</v>
      </c>
      <c r="U377" s="1" cm="1">
        <f t="array" ref="U377">MIN(ABS(M377:O377))</f>
        <v>0.4954237598389164</v>
      </c>
    </row>
    <row r="378" spans="1:21" x14ac:dyDescent="0.35">
      <c r="A378" t="s">
        <v>374</v>
      </c>
      <c r="B378" s="2">
        <v>64.69</v>
      </c>
      <c r="C378" s="2">
        <v>18.600000000000001</v>
      </c>
      <c r="D378" s="2">
        <v>22.13</v>
      </c>
      <c r="E378" s="2">
        <v>34.119999999999997</v>
      </c>
      <c r="F378" s="2">
        <v>10.11</v>
      </c>
      <c r="G378">
        <v>0</v>
      </c>
      <c r="H378">
        <v>2</v>
      </c>
      <c r="I378">
        <v>5</v>
      </c>
      <c r="J378">
        <v>0</v>
      </c>
      <c r="K378">
        <v>1</v>
      </c>
      <c r="L378">
        <v>2</v>
      </c>
      <c r="M378" s="1">
        <f t="shared" si="40"/>
        <v>-0.71247488019786664</v>
      </c>
      <c r="N378" s="1">
        <f t="shared" si="41"/>
        <v>-0.65790694079455869</v>
      </c>
      <c r="O378" s="1">
        <f t="shared" si="42"/>
        <v>-0.47256144690060287</v>
      </c>
      <c r="P378">
        <f t="shared" si="43"/>
        <v>343</v>
      </c>
      <c r="Q378">
        <f t="shared" si="44"/>
        <v>359</v>
      </c>
      <c r="R378">
        <f t="shared" si="45"/>
        <v>409</v>
      </c>
      <c r="S378">
        <f t="shared" si="46"/>
        <v>1111</v>
      </c>
      <c r="T378">
        <f t="shared" si="47"/>
        <v>377</v>
      </c>
      <c r="U378" s="1" cm="1">
        <f t="array" ref="U378">MIN(ABS(M378:O378))</f>
        <v>0.47256144690060287</v>
      </c>
    </row>
    <row r="379" spans="1:21" x14ac:dyDescent="0.35">
      <c r="A379" t="s">
        <v>411</v>
      </c>
      <c r="B379" s="2">
        <v>47.66</v>
      </c>
      <c r="C379" s="2">
        <v>8.66</v>
      </c>
      <c r="D379" s="2">
        <v>13.41</v>
      </c>
      <c r="E379" s="2">
        <v>42.93</v>
      </c>
      <c r="F379" s="2">
        <v>11.18</v>
      </c>
      <c r="G379">
        <v>2</v>
      </c>
      <c r="H379">
        <v>8</v>
      </c>
      <c r="I379">
        <v>15</v>
      </c>
      <c r="J379">
        <v>0</v>
      </c>
      <c r="K379">
        <v>1</v>
      </c>
      <c r="L379">
        <v>2</v>
      </c>
      <c r="M379" s="1">
        <f t="shared" si="40"/>
        <v>-0.81829626521191767</v>
      </c>
      <c r="N379" s="1">
        <f t="shared" si="41"/>
        <v>-0.71863197650020982</v>
      </c>
      <c r="O379" s="1">
        <f t="shared" si="42"/>
        <v>-9.9244649601342827E-2</v>
      </c>
      <c r="P379">
        <f t="shared" si="43"/>
        <v>425</v>
      </c>
      <c r="Q379">
        <f t="shared" si="44"/>
        <v>396</v>
      </c>
      <c r="R379">
        <f t="shared" si="45"/>
        <v>292</v>
      </c>
      <c r="S379">
        <f t="shared" si="46"/>
        <v>1113</v>
      </c>
      <c r="T379">
        <f t="shared" si="47"/>
        <v>378</v>
      </c>
      <c r="U379" s="1" cm="1">
        <f t="array" ref="U379">MIN(ABS(M379:O379))</f>
        <v>9.9244649601342827E-2</v>
      </c>
    </row>
    <row r="380" spans="1:21" x14ac:dyDescent="0.35">
      <c r="A380" t="s">
        <v>397</v>
      </c>
      <c r="B380" s="2">
        <v>1554.21</v>
      </c>
      <c r="C380" s="2">
        <v>293.01</v>
      </c>
      <c r="D380" s="2">
        <v>480.42</v>
      </c>
      <c r="E380" s="2">
        <v>1252.19</v>
      </c>
      <c r="F380" s="2">
        <v>8.61</v>
      </c>
      <c r="G380">
        <v>1</v>
      </c>
      <c r="H380">
        <v>6</v>
      </c>
      <c r="I380">
        <v>11</v>
      </c>
      <c r="J380">
        <v>0</v>
      </c>
      <c r="K380">
        <v>1</v>
      </c>
      <c r="L380">
        <v>2</v>
      </c>
      <c r="M380" s="1">
        <f t="shared" si="40"/>
        <v>-0.81147335302179247</v>
      </c>
      <c r="N380" s="1">
        <f t="shared" si="41"/>
        <v>-0.69089119230991947</v>
      </c>
      <c r="O380" s="1">
        <f t="shared" si="42"/>
        <v>-0.19432380437649999</v>
      </c>
      <c r="P380">
        <f t="shared" si="43"/>
        <v>416</v>
      </c>
      <c r="Q380">
        <f t="shared" si="44"/>
        <v>382</v>
      </c>
      <c r="R380">
        <f t="shared" si="45"/>
        <v>317</v>
      </c>
      <c r="S380">
        <f t="shared" si="46"/>
        <v>1115</v>
      </c>
      <c r="T380">
        <f t="shared" si="47"/>
        <v>379</v>
      </c>
      <c r="U380" s="1" cm="1">
        <f t="array" ref="U380">MIN(ABS(M380:O380))</f>
        <v>0.19432380437649999</v>
      </c>
    </row>
    <row r="381" spans="1:21" x14ac:dyDescent="0.35">
      <c r="A381" t="s">
        <v>378</v>
      </c>
      <c r="B381" s="2">
        <v>360.13</v>
      </c>
      <c r="C381" s="2">
        <v>94.87</v>
      </c>
      <c r="D381" s="2">
        <v>121.28</v>
      </c>
      <c r="E381" s="2">
        <v>210.39</v>
      </c>
      <c r="F381" s="2">
        <v>11.27</v>
      </c>
      <c r="G381">
        <v>1</v>
      </c>
      <c r="H381">
        <v>3</v>
      </c>
      <c r="I381">
        <v>6</v>
      </c>
      <c r="J381">
        <v>0</v>
      </c>
      <c r="K381">
        <v>0</v>
      </c>
      <c r="L381">
        <v>2</v>
      </c>
      <c r="M381" s="1">
        <f t="shared" si="40"/>
        <v>-0.73656735067892143</v>
      </c>
      <c r="N381" s="1">
        <f t="shared" si="41"/>
        <v>-0.6632327215172299</v>
      </c>
      <c r="O381" s="1">
        <f t="shared" si="42"/>
        <v>-0.41579429650404021</v>
      </c>
      <c r="P381">
        <f t="shared" si="43"/>
        <v>359</v>
      </c>
      <c r="Q381">
        <f t="shared" si="44"/>
        <v>363</v>
      </c>
      <c r="R381">
        <f t="shared" si="45"/>
        <v>394</v>
      </c>
      <c r="S381">
        <f t="shared" si="46"/>
        <v>1116</v>
      </c>
      <c r="T381">
        <f t="shared" si="47"/>
        <v>380</v>
      </c>
      <c r="U381" s="1" cm="1">
        <f t="array" ref="U381">MIN(ABS(M381:O381))</f>
        <v>0.41579429650404021</v>
      </c>
    </row>
    <row r="382" spans="1:21" x14ac:dyDescent="0.35">
      <c r="A382" t="s">
        <v>566</v>
      </c>
      <c r="B382" s="2">
        <v>29.36</v>
      </c>
      <c r="C382" s="2">
        <v>-15.89</v>
      </c>
      <c r="D382" s="2">
        <v>-21.7</v>
      </c>
      <c r="E382" s="2">
        <v>372.35</v>
      </c>
      <c r="F382" s="2">
        <v>8.75</v>
      </c>
      <c r="G382">
        <v>2</v>
      </c>
      <c r="H382">
        <v>10</v>
      </c>
      <c r="I382">
        <v>18</v>
      </c>
      <c r="J382">
        <v>1</v>
      </c>
      <c r="K382">
        <v>5</v>
      </c>
      <c r="L382">
        <v>9</v>
      </c>
      <c r="M382" s="1">
        <f t="shared" si="40"/>
        <v>-1.5412125340599454</v>
      </c>
      <c r="N382" s="1">
        <f t="shared" si="41"/>
        <v>-1.7391008174386919</v>
      </c>
      <c r="O382" s="1">
        <f t="shared" si="42"/>
        <v>11.682220708446868</v>
      </c>
      <c r="P382">
        <f t="shared" si="43"/>
        <v>553</v>
      </c>
      <c r="Q382">
        <f t="shared" si="44"/>
        <v>556</v>
      </c>
      <c r="R382">
        <f t="shared" si="45"/>
        <v>8</v>
      </c>
      <c r="S382">
        <f t="shared" si="46"/>
        <v>1117</v>
      </c>
      <c r="T382">
        <f t="shared" si="47"/>
        <v>381</v>
      </c>
      <c r="U382" s="1" cm="1">
        <f t="array" ref="U382">MIN(ABS(M382:O382))</f>
        <v>1.5412125340599454</v>
      </c>
    </row>
    <row r="383" spans="1:21" x14ac:dyDescent="0.35">
      <c r="A383" t="s">
        <v>523</v>
      </c>
      <c r="B383" s="2">
        <v>302.76</v>
      </c>
      <c r="C383" s="2">
        <v>7.31</v>
      </c>
      <c r="D383" s="2">
        <v>6.18</v>
      </c>
      <c r="E383" s="2">
        <v>723.04</v>
      </c>
      <c r="F383" s="2">
        <v>14.37</v>
      </c>
      <c r="G383">
        <v>2</v>
      </c>
      <c r="H383">
        <v>10</v>
      </c>
      <c r="I383">
        <v>18</v>
      </c>
      <c r="J383">
        <v>0</v>
      </c>
      <c r="K383">
        <v>0</v>
      </c>
      <c r="L383">
        <v>2</v>
      </c>
      <c r="M383" s="1">
        <f t="shared" si="40"/>
        <v>-0.97585546307306115</v>
      </c>
      <c r="N383" s="1">
        <f t="shared" si="41"/>
        <v>-0.97958779231074122</v>
      </c>
      <c r="O383" s="1">
        <f t="shared" si="42"/>
        <v>1.3881622407187209</v>
      </c>
      <c r="P383">
        <f t="shared" si="43"/>
        <v>509</v>
      </c>
      <c r="Q383">
        <f t="shared" si="44"/>
        <v>512</v>
      </c>
      <c r="R383">
        <f t="shared" si="45"/>
        <v>100</v>
      </c>
      <c r="S383">
        <f t="shared" si="46"/>
        <v>1121</v>
      </c>
      <c r="T383">
        <f t="shared" si="47"/>
        <v>382</v>
      </c>
      <c r="U383" s="1" cm="1">
        <f t="array" ref="U383">MIN(ABS(M383:O383))</f>
        <v>0.97585546307306115</v>
      </c>
    </row>
    <row r="384" spans="1:21" x14ac:dyDescent="0.35">
      <c r="A384" t="s">
        <v>386</v>
      </c>
      <c r="B384" s="2">
        <v>259.08999999999997</v>
      </c>
      <c r="C384" s="2">
        <v>78.63</v>
      </c>
      <c r="D384" s="2">
        <v>84.54</v>
      </c>
      <c r="E384" s="2">
        <v>125.11</v>
      </c>
      <c r="F384" s="2">
        <v>11.93</v>
      </c>
      <c r="G384">
        <v>0</v>
      </c>
      <c r="H384">
        <v>1</v>
      </c>
      <c r="I384">
        <v>5</v>
      </c>
      <c r="J384">
        <v>0</v>
      </c>
      <c r="K384">
        <v>0</v>
      </c>
      <c r="L384">
        <v>2</v>
      </c>
      <c r="M384" s="1">
        <f t="shared" si="40"/>
        <v>-0.69651472461306874</v>
      </c>
      <c r="N384" s="1">
        <f t="shared" si="41"/>
        <v>-0.67370411826006404</v>
      </c>
      <c r="O384" s="1">
        <f t="shared" si="42"/>
        <v>-0.51711760392141715</v>
      </c>
      <c r="P384">
        <f t="shared" si="43"/>
        <v>333</v>
      </c>
      <c r="Q384">
        <f t="shared" si="44"/>
        <v>371</v>
      </c>
      <c r="R384">
        <f t="shared" si="45"/>
        <v>419</v>
      </c>
      <c r="S384">
        <f t="shared" si="46"/>
        <v>1123</v>
      </c>
      <c r="T384">
        <f t="shared" si="47"/>
        <v>383</v>
      </c>
      <c r="U384" s="1" cm="1">
        <f t="array" ref="U384">MIN(ABS(M384:O384))</f>
        <v>0.51711760392141715</v>
      </c>
    </row>
    <row r="385" spans="1:21" x14ac:dyDescent="0.35">
      <c r="A385" t="s">
        <v>390</v>
      </c>
      <c r="B385" s="2">
        <v>168.62</v>
      </c>
      <c r="C385" s="2">
        <v>51.81</v>
      </c>
      <c r="D385" s="2">
        <v>54.04</v>
      </c>
      <c r="E385" s="2">
        <v>78.260000000000005</v>
      </c>
      <c r="F385" s="2">
        <v>11.05</v>
      </c>
      <c r="G385">
        <v>-1</v>
      </c>
      <c r="H385">
        <v>1</v>
      </c>
      <c r="I385">
        <v>5</v>
      </c>
      <c r="J385">
        <v>0</v>
      </c>
      <c r="K385">
        <v>1</v>
      </c>
      <c r="L385">
        <v>2</v>
      </c>
      <c r="M385" s="1">
        <f t="shared" si="40"/>
        <v>-0.69274107460562218</v>
      </c>
      <c r="N385" s="1">
        <f t="shared" si="41"/>
        <v>-0.67951607164037475</v>
      </c>
      <c r="O385" s="1">
        <f t="shared" si="42"/>
        <v>-0.53587949234966192</v>
      </c>
      <c r="P385">
        <f t="shared" si="43"/>
        <v>330</v>
      </c>
      <c r="Q385">
        <f t="shared" si="44"/>
        <v>375</v>
      </c>
      <c r="R385">
        <f t="shared" si="45"/>
        <v>427</v>
      </c>
      <c r="S385">
        <f t="shared" si="46"/>
        <v>1132</v>
      </c>
      <c r="T385">
        <f t="shared" si="47"/>
        <v>384</v>
      </c>
      <c r="U385" s="1" cm="1">
        <f t="array" ref="U385">MIN(ABS(M385:O385))</f>
        <v>0.53587949234966192</v>
      </c>
    </row>
    <row r="386" spans="1:21" x14ac:dyDescent="0.35">
      <c r="A386" t="s">
        <v>392</v>
      </c>
      <c r="B386" s="2">
        <v>11.83</v>
      </c>
      <c r="C386" s="2">
        <v>3.71</v>
      </c>
      <c r="D386" s="2">
        <v>3.76</v>
      </c>
      <c r="E386" s="2">
        <v>5.33</v>
      </c>
      <c r="F386" s="2">
        <v>15.08</v>
      </c>
      <c r="G386">
        <v>-3</v>
      </c>
      <c r="H386">
        <v>1</v>
      </c>
      <c r="I386">
        <v>5</v>
      </c>
      <c r="J386">
        <v>0</v>
      </c>
      <c r="K386">
        <v>0</v>
      </c>
      <c r="L386">
        <v>2</v>
      </c>
      <c r="M386" s="1">
        <f t="shared" ref="M386:M449" si="48">C386/$B386-1</f>
        <v>-0.68639053254437865</v>
      </c>
      <c r="N386" s="1">
        <f t="shared" ref="N386:N449" si="49">D386/$B386-1</f>
        <v>-0.68216398985629756</v>
      </c>
      <c r="O386" s="1">
        <f t="shared" ref="O386:O449" si="50">E386/$B386-1</f>
        <v>-0.5494505494505495</v>
      </c>
      <c r="P386">
        <f t="shared" ref="P386:P449" si="51">_xlfn.RANK.EQ(M386,M$2:M$564)</f>
        <v>326</v>
      </c>
      <c r="Q386">
        <f t="shared" ref="Q386:Q449" si="52">_xlfn.RANK.EQ(N386,N$2:N$564)</f>
        <v>377</v>
      </c>
      <c r="R386">
        <f t="shared" ref="R386:R449" si="53">_xlfn.RANK.EQ(O386,O$2:O$564)</f>
        <v>431</v>
      </c>
      <c r="S386">
        <f t="shared" ref="S386:S449" si="54">SUM(P386:R386)</f>
        <v>1134</v>
      </c>
      <c r="T386">
        <f t="shared" ref="T386:T449" si="55">_xlfn.RANK.EQ(S386,S$2:S$564, 1)</f>
        <v>385</v>
      </c>
      <c r="U386" s="1" cm="1">
        <f t="array" ref="U386">MIN(ABS(M386:O386))</f>
        <v>0.5494505494505495</v>
      </c>
    </row>
    <row r="387" spans="1:21" x14ac:dyDescent="0.35">
      <c r="A387" t="s">
        <v>413</v>
      </c>
      <c r="B387" s="2">
        <v>61.72</v>
      </c>
      <c r="C387" s="2">
        <v>15.67</v>
      </c>
      <c r="D387" s="2">
        <v>17.170000000000002</v>
      </c>
      <c r="E387" s="2">
        <v>39.89</v>
      </c>
      <c r="F387" s="2">
        <v>13.7</v>
      </c>
      <c r="G387">
        <v>-3</v>
      </c>
      <c r="H387">
        <v>1</v>
      </c>
      <c r="I387">
        <v>5</v>
      </c>
      <c r="J387">
        <v>0</v>
      </c>
      <c r="K387">
        <v>0</v>
      </c>
      <c r="L387">
        <v>2</v>
      </c>
      <c r="M387" s="1">
        <f t="shared" si="48"/>
        <v>-0.74611147116007781</v>
      </c>
      <c r="N387" s="1">
        <f t="shared" si="49"/>
        <v>-0.72180816591056374</v>
      </c>
      <c r="O387" s="1">
        <f t="shared" si="50"/>
        <v>-0.35369410239792609</v>
      </c>
      <c r="P387">
        <f t="shared" si="51"/>
        <v>372</v>
      </c>
      <c r="Q387">
        <f t="shared" si="52"/>
        <v>398</v>
      </c>
      <c r="R387">
        <f t="shared" si="53"/>
        <v>371</v>
      </c>
      <c r="S387">
        <f t="shared" si="54"/>
        <v>1141</v>
      </c>
      <c r="T387">
        <f t="shared" si="55"/>
        <v>386</v>
      </c>
      <c r="U387" s="1" cm="1">
        <f t="array" ref="U387">MIN(ABS(M387:O387))</f>
        <v>0.35369410239792609</v>
      </c>
    </row>
    <row r="388" spans="1:21" x14ac:dyDescent="0.35">
      <c r="A388" t="s">
        <v>394</v>
      </c>
      <c r="B388" s="2">
        <v>260.51</v>
      </c>
      <c r="C388" s="2">
        <v>62.32</v>
      </c>
      <c r="D388" s="2">
        <v>82.59</v>
      </c>
      <c r="E388" s="2">
        <v>157.76</v>
      </c>
      <c r="F388" s="2">
        <v>11.53</v>
      </c>
      <c r="G388">
        <v>1</v>
      </c>
      <c r="H388">
        <v>4</v>
      </c>
      <c r="I388">
        <v>8</v>
      </c>
      <c r="J388">
        <v>0</v>
      </c>
      <c r="K388">
        <v>0</v>
      </c>
      <c r="L388">
        <v>2</v>
      </c>
      <c r="M388" s="1">
        <f t="shared" si="48"/>
        <v>-0.76077693754558362</v>
      </c>
      <c r="N388" s="1">
        <f t="shared" si="49"/>
        <v>-0.68296802426010517</v>
      </c>
      <c r="O388" s="1">
        <f t="shared" si="50"/>
        <v>-0.39441864035929519</v>
      </c>
      <c r="P388">
        <f t="shared" si="51"/>
        <v>382</v>
      </c>
      <c r="Q388">
        <f t="shared" si="52"/>
        <v>379</v>
      </c>
      <c r="R388">
        <f t="shared" si="53"/>
        <v>385</v>
      </c>
      <c r="S388">
        <f t="shared" si="54"/>
        <v>1146</v>
      </c>
      <c r="T388">
        <f t="shared" si="55"/>
        <v>387</v>
      </c>
      <c r="U388" s="1" cm="1">
        <f t="array" ref="U388">MIN(ABS(M388:O388))</f>
        <v>0.39441864035929519</v>
      </c>
    </row>
    <row r="389" spans="1:21" x14ac:dyDescent="0.35">
      <c r="A389" t="s">
        <v>387</v>
      </c>
      <c r="B389" s="2">
        <v>273.10000000000002</v>
      </c>
      <c r="C389" s="2">
        <v>70.790000000000006</v>
      </c>
      <c r="D389" s="2">
        <v>88.52</v>
      </c>
      <c r="E389" s="2">
        <v>141.72</v>
      </c>
      <c r="F389" s="2">
        <v>10.25</v>
      </c>
      <c r="G389">
        <v>1</v>
      </c>
      <c r="H389">
        <v>3</v>
      </c>
      <c r="I389">
        <v>5</v>
      </c>
      <c r="J389">
        <v>0</v>
      </c>
      <c r="K389">
        <v>1</v>
      </c>
      <c r="L389">
        <v>2</v>
      </c>
      <c r="M389" s="1">
        <f t="shared" si="48"/>
        <v>-0.74079091907726102</v>
      </c>
      <c r="N389" s="1">
        <f t="shared" si="49"/>
        <v>-0.67586964481874778</v>
      </c>
      <c r="O389" s="1">
        <f t="shared" si="50"/>
        <v>-0.48106920541926035</v>
      </c>
      <c r="P389">
        <f t="shared" si="51"/>
        <v>366</v>
      </c>
      <c r="Q389">
        <f t="shared" si="52"/>
        <v>372</v>
      </c>
      <c r="R389">
        <f t="shared" si="53"/>
        <v>411</v>
      </c>
      <c r="S389">
        <f t="shared" si="54"/>
        <v>1149</v>
      </c>
      <c r="T389">
        <f t="shared" si="55"/>
        <v>388</v>
      </c>
      <c r="U389" s="1" cm="1">
        <f t="array" ref="U389">MIN(ABS(M389:O389))</f>
        <v>0.48106920541926035</v>
      </c>
    </row>
    <row r="390" spans="1:21" x14ac:dyDescent="0.35">
      <c r="A390" t="s">
        <v>383</v>
      </c>
      <c r="B390" s="2">
        <v>971.29</v>
      </c>
      <c r="C390" s="2">
        <v>229.39</v>
      </c>
      <c r="D390" s="2">
        <v>319.45999999999998</v>
      </c>
      <c r="E390" s="2">
        <v>559.24</v>
      </c>
      <c r="F390" s="2">
        <v>9.33</v>
      </c>
      <c r="G390">
        <v>1</v>
      </c>
      <c r="H390">
        <v>2</v>
      </c>
      <c r="I390">
        <v>5</v>
      </c>
      <c r="J390">
        <v>0</v>
      </c>
      <c r="K390">
        <v>1</v>
      </c>
      <c r="L390">
        <v>2</v>
      </c>
      <c r="M390" s="1">
        <f t="shared" si="48"/>
        <v>-0.76382954627351252</v>
      </c>
      <c r="N390" s="1">
        <f t="shared" si="49"/>
        <v>-0.67109720063008993</v>
      </c>
      <c r="O390" s="1">
        <f t="shared" si="50"/>
        <v>-0.42422963275643732</v>
      </c>
      <c r="P390">
        <f t="shared" si="51"/>
        <v>386</v>
      </c>
      <c r="Q390">
        <f t="shared" si="52"/>
        <v>368</v>
      </c>
      <c r="R390">
        <f t="shared" si="53"/>
        <v>396</v>
      </c>
      <c r="S390">
        <f t="shared" si="54"/>
        <v>1150</v>
      </c>
      <c r="T390">
        <f t="shared" si="55"/>
        <v>389</v>
      </c>
      <c r="U390" s="1" cm="1">
        <f t="array" ref="U390">MIN(ABS(M390:O390))</f>
        <v>0.42422963275643732</v>
      </c>
    </row>
    <row r="391" spans="1:21" x14ac:dyDescent="0.35">
      <c r="A391" t="s">
        <v>449</v>
      </c>
      <c r="B391" s="2">
        <v>65.16</v>
      </c>
      <c r="C391" s="2">
        <v>8.11</v>
      </c>
      <c r="D391" s="2">
        <v>14.84</v>
      </c>
      <c r="E391" s="2">
        <v>65.790000000000006</v>
      </c>
      <c r="F391" s="2">
        <v>10.43</v>
      </c>
      <c r="G391">
        <v>2</v>
      </c>
      <c r="H391">
        <v>10</v>
      </c>
      <c r="I391">
        <v>18</v>
      </c>
      <c r="J391">
        <v>0</v>
      </c>
      <c r="K391">
        <v>1</v>
      </c>
      <c r="L391">
        <v>2</v>
      </c>
      <c r="M391" s="1">
        <f t="shared" si="48"/>
        <v>-0.875537139349294</v>
      </c>
      <c r="N391" s="1">
        <f t="shared" si="49"/>
        <v>-0.77225291589932477</v>
      </c>
      <c r="O391" s="1">
        <f t="shared" si="50"/>
        <v>9.6685082872929318E-3</v>
      </c>
      <c r="P391">
        <f t="shared" si="51"/>
        <v>458</v>
      </c>
      <c r="Q391">
        <f t="shared" si="52"/>
        <v>437</v>
      </c>
      <c r="R391">
        <f t="shared" si="53"/>
        <v>259</v>
      </c>
      <c r="S391">
        <f t="shared" si="54"/>
        <v>1154</v>
      </c>
      <c r="T391">
        <f t="shared" si="55"/>
        <v>390</v>
      </c>
      <c r="U391" s="1" cm="1">
        <f t="array" ref="U391">MIN(ABS(M391:O391))</f>
        <v>9.6685082872929318E-3</v>
      </c>
    </row>
    <row r="392" spans="1:21" x14ac:dyDescent="0.35">
      <c r="A392" t="s">
        <v>429</v>
      </c>
      <c r="B392" s="2">
        <v>105.91</v>
      </c>
      <c r="C392" s="2">
        <v>14.75</v>
      </c>
      <c r="D392" s="2">
        <v>27.04</v>
      </c>
      <c r="E392" s="2">
        <v>96.9</v>
      </c>
      <c r="F392" s="2">
        <v>11.6</v>
      </c>
      <c r="G392">
        <v>2</v>
      </c>
      <c r="H392">
        <v>8</v>
      </c>
      <c r="I392">
        <v>14</v>
      </c>
      <c r="J392">
        <v>0</v>
      </c>
      <c r="K392">
        <v>0</v>
      </c>
      <c r="L392">
        <v>2</v>
      </c>
      <c r="M392" s="1">
        <f t="shared" si="48"/>
        <v>-0.86073080917760358</v>
      </c>
      <c r="N392" s="1">
        <f t="shared" si="49"/>
        <v>-0.74468888679067136</v>
      </c>
      <c r="O392" s="1">
        <f t="shared" si="50"/>
        <v>-8.5072231139646792E-2</v>
      </c>
      <c r="P392">
        <f t="shared" si="51"/>
        <v>454</v>
      </c>
      <c r="Q392">
        <f t="shared" si="52"/>
        <v>416</v>
      </c>
      <c r="R392">
        <f t="shared" si="53"/>
        <v>285</v>
      </c>
      <c r="S392">
        <f t="shared" si="54"/>
        <v>1155</v>
      </c>
      <c r="T392">
        <f t="shared" si="55"/>
        <v>391</v>
      </c>
      <c r="U392" s="1" cm="1">
        <f t="array" ref="U392">MIN(ABS(M392:O392))</f>
        <v>8.5072231139646792E-2</v>
      </c>
    </row>
    <row r="393" spans="1:21" x14ac:dyDescent="0.35">
      <c r="A393" t="s">
        <v>400</v>
      </c>
      <c r="B393" s="2">
        <v>357.45</v>
      </c>
      <c r="C393" s="2">
        <v>99.18</v>
      </c>
      <c r="D393" s="2">
        <v>107.92</v>
      </c>
      <c r="E393" s="2">
        <v>170.52</v>
      </c>
      <c r="F393" s="2">
        <v>11.39</v>
      </c>
      <c r="G393">
        <v>0</v>
      </c>
      <c r="H393">
        <v>1</v>
      </c>
      <c r="I393">
        <v>5</v>
      </c>
      <c r="J393">
        <v>0</v>
      </c>
      <c r="K393">
        <v>1</v>
      </c>
      <c r="L393">
        <v>2</v>
      </c>
      <c r="M393" s="1">
        <f t="shared" si="48"/>
        <v>-0.72253462022660508</v>
      </c>
      <c r="N393" s="1">
        <f t="shared" si="49"/>
        <v>-0.6980836480626661</v>
      </c>
      <c r="O393" s="1">
        <f t="shared" si="50"/>
        <v>-0.52295425933697015</v>
      </c>
      <c r="P393">
        <f t="shared" si="51"/>
        <v>353</v>
      </c>
      <c r="Q393">
        <f t="shared" si="52"/>
        <v>385</v>
      </c>
      <c r="R393">
        <f t="shared" si="53"/>
        <v>420</v>
      </c>
      <c r="S393">
        <f t="shared" si="54"/>
        <v>1158</v>
      </c>
      <c r="T393">
        <f t="shared" si="55"/>
        <v>392</v>
      </c>
      <c r="U393" s="1" cm="1">
        <f t="array" ref="U393">MIN(ABS(M393:O393))</f>
        <v>0.52295425933697015</v>
      </c>
    </row>
    <row r="394" spans="1:21" x14ac:dyDescent="0.35">
      <c r="A394" t="s">
        <v>399</v>
      </c>
      <c r="B394" s="2">
        <v>474.14</v>
      </c>
      <c r="C394" s="2">
        <v>133.72</v>
      </c>
      <c r="D394" s="2">
        <v>144.08000000000001</v>
      </c>
      <c r="E394" s="2">
        <v>216.34</v>
      </c>
      <c r="F394" s="2">
        <v>11.41</v>
      </c>
      <c r="G394">
        <v>0</v>
      </c>
      <c r="H394">
        <v>1</v>
      </c>
      <c r="I394">
        <v>5</v>
      </c>
      <c r="J394">
        <v>0</v>
      </c>
      <c r="K394">
        <v>0</v>
      </c>
      <c r="L394">
        <v>2</v>
      </c>
      <c r="M394" s="1">
        <f t="shared" si="48"/>
        <v>-0.71797359429704311</v>
      </c>
      <c r="N394" s="1">
        <f t="shared" si="49"/>
        <v>-0.69612350782469301</v>
      </c>
      <c r="O394" s="1">
        <f t="shared" si="50"/>
        <v>-0.54372126376175811</v>
      </c>
      <c r="P394">
        <f t="shared" si="51"/>
        <v>350</v>
      </c>
      <c r="Q394">
        <f t="shared" si="52"/>
        <v>384</v>
      </c>
      <c r="R394">
        <f t="shared" si="53"/>
        <v>429</v>
      </c>
      <c r="S394">
        <f t="shared" si="54"/>
        <v>1163</v>
      </c>
      <c r="T394">
        <f t="shared" si="55"/>
        <v>393</v>
      </c>
      <c r="U394" s="1" cm="1">
        <f t="array" ref="U394">MIN(ABS(M394:O394))</f>
        <v>0.54372126376175811</v>
      </c>
    </row>
    <row r="395" spans="1:21" x14ac:dyDescent="0.35">
      <c r="A395" t="s">
        <v>454</v>
      </c>
      <c r="B395" s="2">
        <v>571.25</v>
      </c>
      <c r="C395" s="2">
        <v>56.46</v>
      </c>
      <c r="D395" s="2">
        <v>125.04</v>
      </c>
      <c r="E395" s="2">
        <v>599.55999999999995</v>
      </c>
      <c r="F395" s="2">
        <v>8.41</v>
      </c>
      <c r="G395">
        <v>2</v>
      </c>
      <c r="H395">
        <v>10</v>
      </c>
      <c r="I395">
        <v>18</v>
      </c>
      <c r="J395">
        <v>0</v>
      </c>
      <c r="K395">
        <v>1</v>
      </c>
      <c r="L395">
        <v>2</v>
      </c>
      <c r="M395" s="1">
        <f t="shared" si="48"/>
        <v>-0.90116411378555794</v>
      </c>
      <c r="N395" s="1">
        <f t="shared" si="49"/>
        <v>-0.78111159737417946</v>
      </c>
      <c r="O395" s="1">
        <f t="shared" si="50"/>
        <v>4.9557986870897075E-2</v>
      </c>
      <c r="P395">
        <f t="shared" si="51"/>
        <v>474</v>
      </c>
      <c r="Q395">
        <f t="shared" si="52"/>
        <v>442</v>
      </c>
      <c r="R395">
        <f t="shared" si="53"/>
        <v>249</v>
      </c>
      <c r="S395">
        <f t="shared" si="54"/>
        <v>1165</v>
      </c>
      <c r="T395">
        <f t="shared" si="55"/>
        <v>394</v>
      </c>
      <c r="U395" s="1" cm="1">
        <f t="array" ref="U395">MIN(ABS(M395:O395))</f>
        <v>4.9557986870897075E-2</v>
      </c>
    </row>
    <row r="396" spans="1:21" x14ac:dyDescent="0.35">
      <c r="A396" t="s">
        <v>477</v>
      </c>
      <c r="B396" s="2">
        <v>103.49</v>
      </c>
      <c r="C396" s="2">
        <v>0.77</v>
      </c>
      <c r="D396" s="2">
        <v>16.28</v>
      </c>
      <c r="E396" s="2">
        <v>151.97999999999999</v>
      </c>
      <c r="F396" s="2">
        <v>13.3</v>
      </c>
      <c r="G396">
        <v>2</v>
      </c>
      <c r="H396">
        <v>10</v>
      </c>
      <c r="I396">
        <v>18</v>
      </c>
      <c r="J396">
        <v>0</v>
      </c>
      <c r="K396">
        <v>0</v>
      </c>
      <c r="L396">
        <v>2</v>
      </c>
      <c r="M396" s="1">
        <f t="shared" si="48"/>
        <v>-0.99255966760073433</v>
      </c>
      <c r="N396" s="1">
        <f t="shared" si="49"/>
        <v>-0.84269011498695523</v>
      </c>
      <c r="O396" s="1">
        <f t="shared" si="50"/>
        <v>0.46854768576674077</v>
      </c>
      <c r="P396">
        <f t="shared" si="51"/>
        <v>517</v>
      </c>
      <c r="Q396">
        <f t="shared" si="52"/>
        <v>465</v>
      </c>
      <c r="R396">
        <f t="shared" si="53"/>
        <v>183</v>
      </c>
      <c r="S396">
        <f t="shared" si="54"/>
        <v>1165</v>
      </c>
      <c r="T396">
        <f t="shared" si="55"/>
        <v>394</v>
      </c>
      <c r="U396" s="1" cm="1">
        <f t="array" ref="U396">MIN(ABS(M396:O396))</f>
        <v>0.46854768576674077</v>
      </c>
    </row>
    <row r="397" spans="1:21" x14ac:dyDescent="0.35">
      <c r="A397" t="s">
        <v>404</v>
      </c>
      <c r="B397" s="2">
        <v>38.380000000000003</v>
      </c>
      <c r="C397" s="2">
        <v>11.25</v>
      </c>
      <c r="D397" s="2">
        <v>11.31</v>
      </c>
      <c r="E397" s="2">
        <v>16.28</v>
      </c>
      <c r="F397" s="2">
        <v>13.02</v>
      </c>
      <c r="G397">
        <v>-3</v>
      </c>
      <c r="H397">
        <v>1</v>
      </c>
      <c r="I397">
        <v>5</v>
      </c>
      <c r="J397">
        <v>0</v>
      </c>
      <c r="K397">
        <v>1</v>
      </c>
      <c r="L397">
        <v>2</v>
      </c>
      <c r="M397" s="1">
        <f t="shared" si="48"/>
        <v>-0.70687858259510161</v>
      </c>
      <c r="N397" s="1">
        <f t="shared" si="49"/>
        <v>-0.70531526836894209</v>
      </c>
      <c r="O397" s="1">
        <f t="shared" si="50"/>
        <v>-0.57582073996873373</v>
      </c>
      <c r="P397">
        <f t="shared" si="51"/>
        <v>339</v>
      </c>
      <c r="Q397">
        <f t="shared" si="52"/>
        <v>389</v>
      </c>
      <c r="R397">
        <f t="shared" si="53"/>
        <v>445</v>
      </c>
      <c r="S397">
        <f t="shared" si="54"/>
        <v>1173</v>
      </c>
      <c r="T397">
        <f t="shared" si="55"/>
        <v>396</v>
      </c>
      <c r="U397" s="1" cm="1">
        <f t="array" ref="U397">MIN(ABS(M397:O397))</f>
        <v>0.57582073996873373</v>
      </c>
    </row>
    <row r="398" spans="1:21" x14ac:dyDescent="0.35">
      <c r="A398" t="s">
        <v>406</v>
      </c>
      <c r="B398" s="2">
        <v>74.25</v>
      </c>
      <c r="C398" s="2">
        <v>21.52</v>
      </c>
      <c r="D398" s="2">
        <v>21.55</v>
      </c>
      <c r="E398" s="2">
        <v>31.86</v>
      </c>
      <c r="F398" s="2">
        <v>11.29</v>
      </c>
      <c r="G398">
        <v>-3</v>
      </c>
      <c r="H398">
        <v>1</v>
      </c>
      <c r="I398">
        <v>5</v>
      </c>
      <c r="J398">
        <v>0</v>
      </c>
      <c r="K398">
        <v>1</v>
      </c>
      <c r="L398">
        <v>2</v>
      </c>
      <c r="M398" s="1">
        <f t="shared" si="48"/>
        <v>-0.71016835016835023</v>
      </c>
      <c r="N398" s="1">
        <f t="shared" si="49"/>
        <v>-0.70976430976430982</v>
      </c>
      <c r="O398" s="1">
        <f t="shared" si="50"/>
        <v>-0.57090909090909092</v>
      </c>
      <c r="P398">
        <f t="shared" si="51"/>
        <v>341</v>
      </c>
      <c r="Q398">
        <f t="shared" si="52"/>
        <v>391</v>
      </c>
      <c r="R398">
        <f t="shared" si="53"/>
        <v>441</v>
      </c>
      <c r="S398">
        <f t="shared" si="54"/>
        <v>1173</v>
      </c>
      <c r="T398">
        <f t="shared" si="55"/>
        <v>396</v>
      </c>
      <c r="U398" s="1" cm="1">
        <f t="array" ref="U398">MIN(ABS(M398:O398))</f>
        <v>0.57090909090909092</v>
      </c>
    </row>
    <row r="399" spans="1:21" x14ac:dyDescent="0.35">
      <c r="A399" t="s">
        <v>401</v>
      </c>
      <c r="B399" s="2">
        <v>78.290000000000006</v>
      </c>
      <c r="C399" s="2">
        <v>20.239999999999998</v>
      </c>
      <c r="D399" s="2">
        <v>23.6</v>
      </c>
      <c r="E399" s="2">
        <v>36.65</v>
      </c>
      <c r="F399" s="2">
        <v>12.63</v>
      </c>
      <c r="G399">
        <v>0</v>
      </c>
      <c r="H399">
        <v>2</v>
      </c>
      <c r="I399">
        <v>5</v>
      </c>
      <c r="J399">
        <v>0</v>
      </c>
      <c r="K399">
        <v>0</v>
      </c>
      <c r="L399">
        <v>2</v>
      </c>
      <c r="M399" s="1">
        <f t="shared" si="48"/>
        <v>-0.74147400689743259</v>
      </c>
      <c r="N399" s="1">
        <f t="shared" si="49"/>
        <v>-0.69855664835866649</v>
      </c>
      <c r="O399" s="1">
        <f t="shared" si="50"/>
        <v>-0.53186869331970876</v>
      </c>
      <c r="P399">
        <f t="shared" si="51"/>
        <v>367</v>
      </c>
      <c r="Q399">
        <f t="shared" si="52"/>
        <v>386</v>
      </c>
      <c r="R399">
        <f t="shared" si="53"/>
        <v>425</v>
      </c>
      <c r="S399">
        <f t="shared" si="54"/>
        <v>1178</v>
      </c>
      <c r="T399">
        <f t="shared" si="55"/>
        <v>398</v>
      </c>
      <c r="U399" s="1" cm="1">
        <f t="array" ref="U399">MIN(ABS(M399:O399))</f>
        <v>0.53186869331970876</v>
      </c>
    </row>
    <row r="400" spans="1:21" x14ac:dyDescent="0.35">
      <c r="A400" t="s">
        <v>407</v>
      </c>
      <c r="B400" s="2">
        <v>74.290000000000006</v>
      </c>
      <c r="C400" s="2">
        <v>20.96</v>
      </c>
      <c r="D400" s="2">
        <v>21.54</v>
      </c>
      <c r="E400" s="2">
        <v>32.06</v>
      </c>
      <c r="F400" s="2">
        <v>12.41</v>
      </c>
      <c r="G400">
        <v>-1</v>
      </c>
      <c r="H400">
        <v>1</v>
      </c>
      <c r="I400">
        <v>5</v>
      </c>
      <c r="J400">
        <v>0</v>
      </c>
      <c r="K400">
        <v>0</v>
      </c>
      <c r="L400">
        <v>2</v>
      </c>
      <c r="M400" s="1">
        <f t="shared" si="48"/>
        <v>-0.71786243101359537</v>
      </c>
      <c r="N400" s="1">
        <f t="shared" si="49"/>
        <v>-0.71005518912370436</v>
      </c>
      <c r="O400" s="1">
        <f t="shared" si="50"/>
        <v>-0.56844797415533721</v>
      </c>
      <c r="P400">
        <f t="shared" si="51"/>
        <v>348</v>
      </c>
      <c r="Q400">
        <f t="shared" si="52"/>
        <v>392</v>
      </c>
      <c r="R400">
        <f t="shared" si="53"/>
        <v>438</v>
      </c>
      <c r="S400">
        <f t="shared" si="54"/>
        <v>1178</v>
      </c>
      <c r="T400">
        <f t="shared" si="55"/>
        <v>398</v>
      </c>
      <c r="U400" s="1" cm="1">
        <f t="array" ref="U400">MIN(ABS(M400:O400))</f>
        <v>0.56844797415533721</v>
      </c>
    </row>
    <row r="401" spans="1:21" x14ac:dyDescent="0.35">
      <c r="A401" t="s">
        <v>457</v>
      </c>
      <c r="B401" s="2">
        <v>943.7</v>
      </c>
      <c r="C401" s="2">
        <v>100.61</v>
      </c>
      <c r="D401" s="2">
        <v>202.29</v>
      </c>
      <c r="E401" s="2">
        <v>917.1</v>
      </c>
      <c r="F401" s="2">
        <v>8.89</v>
      </c>
      <c r="G401">
        <v>2</v>
      </c>
      <c r="H401">
        <v>10</v>
      </c>
      <c r="I401">
        <v>18</v>
      </c>
      <c r="J401">
        <v>0</v>
      </c>
      <c r="K401">
        <v>2</v>
      </c>
      <c r="L401">
        <v>3</v>
      </c>
      <c r="M401" s="1">
        <f t="shared" si="48"/>
        <v>-0.89338772915121334</v>
      </c>
      <c r="N401" s="1">
        <f t="shared" si="49"/>
        <v>-0.78564162339726606</v>
      </c>
      <c r="O401" s="1">
        <f t="shared" si="50"/>
        <v>-2.8186923810533004E-2</v>
      </c>
      <c r="P401">
        <f t="shared" si="51"/>
        <v>468</v>
      </c>
      <c r="Q401">
        <f t="shared" si="52"/>
        <v>445</v>
      </c>
      <c r="R401">
        <f t="shared" si="53"/>
        <v>269</v>
      </c>
      <c r="S401">
        <f t="shared" si="54"/>
        <v>1182</v>
      </c>
      <c r="T401">
        <f t="shared" si="55"/>
        <v>400</v>
      </c>
      <c r="U401" s="1" cm="1">
        <f t="array" ref="U401">MIN(ABS(M401:O401))</f>
        <v>2.8186923810533004E-2</v>
      </c>
    </row>
    <row r="402" spans="1:21" x14ac:dyDescent="0.35">
      <c r="A402" t="s">
        <v>408</v>
      </c>
      <c r="B402" s="2">
        <v>758.78</v>
      </c>
      <c r="C402" s="2">
        <v>204.5</v>
      </c>
      <c r="D402" s="2">
        <v>218.87</v>
      </c>
      <c r="E402" s="2">
        <v>337.69</v>
      </c>
      <c r="F402" s="2">
        <v>11.66</v>
      </c>
      <c r="G402">
        <v>0</v>
      </c>
      <c r="H402">
        <v>1</v>
      </c>
      <c r="I402">
        <v>5</v>
      </c>
      <c r="J402">
        <v>0</v>
      </c>
      <c r="K402">
        <v>0</v>
      </c>
      <c r="L402">
        <v>2</v>
      </c>
      <c r="M402" s="1">
        <f t="shared" si="48"/>
        <v>-0.73048841561453914</v>
      </c>
      <c r="N402" s="1">
        <f t="shared" si="49"/>
        <v>-0.71155011992936035</v>
      </c>
      <c r="O402" s="1">
        <f t="shared" si="50"/>
        <v>-0.55495664092358787</v>
      </c>
      <c r="P402">
        <f t="shared" si="51"/>
        <v>358</v>
      </c>
      <c r="Q402">
        <f t="shared" si="52"/>
        <v>393</v>
      </c>
      <c r="R402">
        <f t="shared" si="53"/>
        <v>432</v>
      </c>
      <c r="S402">
        <f t="shared" si="54"/>
        <v>1183</v>
      </c>
      <c r="T402">
        <f t="shared" si="55"/>
        <v>401</v>
      </c>
      <c r="U402" s="1" cm="1">
        <f t="array" ref="U402">MIN(ABS(M402:O402))</f>
        <v>0.55495664092358787</v>
      </c>
    </row>
    <row r="403" spans="1:21" x14ac:dyDescent="0.35">
      <c r="A403" t="s">
        <v>427</v>
      </c>
      <c r="B403" s="2">
        <v>97.57</v>
      </c>
      <c r="C403" s="2">
        <v>16.66</v>
      </c>
      <c r="D403" s="2">
        <v>25.28</v>
      </c>
      <c r="E403" s="2">
        <v>72.52</v>
      </c>
      <c r="F403" s="2">
        <v>11.23</v>
      </c>
      <c r="G403">
        <v>2</v>
      </c>
      <c r="H403">
        <v>7</v>
      </c>
      <c r="I403">
        <v>12</v>
      </c>
      <c r="J403">
        <v>0</v>
      </c>
      <c r="K403">
        <v>1</v>
      </c>
      <c r="L403">
        <v>2</v>
      </c>
      <c r="M403" s="1">
        <f t="shared" si="48"/>
        <v>-0.82925079430152704</v>
      </c>
      <c r="N403" s="1">
        <f t="shared" si="49"/>
        <v>-0.74090396638310951</v>
      </c>
      <c r="O403" s="1">
        <f t="shared" si="50"/>
        <v>-0.25673875166547089</v>
      </c>
      <c r="P403">
        <f t="shared" si="51"/>
        <v>432</v>
      </c>
      <c r="Q403">
        <f t="shared" si="52"/>
        <v>414</v>
      </c>
      <c r="R403">
        <f t="shared" si="53"/>
        <v>337</v>
      </c>
      <c r="S403">
        <f t="shared" si="54"/>
        <v>1183</v>
      </c>
      <c r="T403">
        <f t="shared" si="55"/>
        <v>401</v>
      </c>
      <c r="U403" s="1" cm="1">
        <f t="array" ref="U403">MIN(ABS(M403:O403))</f>
        <v>0.25673875166547089</v>
      </c>
    </row>
    <row r="404" spans="1:21" x14ac:dyDescent="0.35">
      <c r="A404" t="s">
        <v>436</v>
      </c>
      <c r="B404" s="2">
        <v>113.69</v>
      </c>
      <c r="C404" s="2">
        <v>13.77</v>
      </c>
      <c r="D404" s="2">
        <v>28.64</v>
      </c>
      <c r="E404" s="2">
        <v>100.99</v>
      </c>
      <c r="F404" s="2">
        <v>6.48</v>
      </c>
      <c r="G404">
        <v>2</v>
      </c>
      <c r="H404">
        <v>7</v>
      </c>
      <c r="I404">
        <v>12</v>
      </c>
      <c r="J404">
        <v>1</v>
      </c>
      <c r="K404">
        <v>5</v>
      </c>
      <c r="L404">
        <v>9</v>
      </c>
      <c r="M404" s="1">
        <f t="shared" si="48"/>
        <v>-0.87888116808866212</v>
      </c>
      <c r="N404" s="1">
        <f t="shared" si="49"/>
        <v>-0.74808690298179259</v>
      </c>
      <c r="O404" s="1">
        <f t="shared" si="50"/>
        <v>-0.11170727416659343</v>
      </c>
      <c r="P404">
        <f t="shared" si="51"/>
        <v>462</v>
      </c>
      <c r="Q404">
        <f t="shared" si="52"/>
        <v>423</v>
      </c>
      <c r="R404">
        <f t="shared" si="53"/>
        <v>298</v>
      </c>
      <c r="S404">
        <f t="shared" si="54"/>
        <v>1183</v>
      </c>
      <c r="T404">
        <f t="shared" si="55"/>
        <v>401</v>
      </c>
      <c r="U404" s="1" cm="1">
        <f t="array" ref="U404">MIN(ABS(M404:O404))</f>
        <v>0.11170727416659343</v>
      </c>
    </row>
    <row r="405" spans="1:21" x14ac:dyDescent="0.35">
      <c r="A405" t="s">
        <v>403</v>
      </c>
      <c r="B405" s="2">
        <v>25.47</v>
      </c>
      <c r="C405" s="2">
        <v>7.2</v>
      </c>
      <c r="D405" s="2">
        <v>7.65</v>
      </c>
      <c r="E405" s="2">
        <v>10.48</v>
      </c>
      <c r="F405" s="2">
        <v>11.39</v>
      </c>
      <c r="G405">
        <v>0</v>
      </c>
      <c r="H405">
        <v>1</v>
      </c>
      <c r="I405">
        <v>5</v>
      </c>
      <c r="J405">
        <v>0</v>
      </c>
      <c r="K405">
        <v>0</v>
      </c>
      <c r="L405">
        <v>2</v>
      </c>
      <c r="M405" s="1">
        <f t="shared" si="48"/>
        <v>-0.71731448763250882</v>
      </c>
      <c r="N405" s="1">
        <f t="shared" si="49"/>
        <v>-0.69964664310954061</v>
      </c>
      <c r="O405" s="1">
        <f t="shared" si="50"/>
        <v>-0.58853553199842956</v>
      </c>
      <c r="P405">
        <f t="shared" si="51"/>
        <v>347</v>
      </c>
      <c r="Q405">
        <f t="shared" si="52"/>
        <v>388</v>
      </c>
      <c r="R405">
        <f t="shared" si="53"/>
        <v>449</v>
      </c>
      <c r="S405">
        <f t="shared" si="54"/>
        <v>1184</v>
      </c>
      <c r="T405">
        <f t="shared" si="55"/>
        <v>404</v>
      </c>
      <c r="U405" s="1" cm="1">
        <f t="array" ref="U405">MIN(ABS(M405:O405))</f>
        <v>0.58853553199842956</v>
      </c>
    </row>
    <row r="406" spans="1:21" x14ac:dyDescent="0.35">
      <c r="A406" t="s">
        <v>415</v>
      </c>
      <c r="B406" s="2">
        <v>275.64</v>
      </c>
      <c r="C406" s="2">
        <v>54.04</v>
      </c>
      <c r="D406" s="2">
        <v>76.44</v>
      </c>
      <c r="E406" s="2">
        <v>174.19</v>
      </c>
      <c r="F406" s="2">
        <v>12.88</v>
      </c>
      <c r="G406">
        <v>1</v>
      </c>
      <c r="H406">
        <v>4</v>
      </c>
      <c r="I406">
        <v>8</v>
      </c>
      <c r="J406">
        <v>0</v>
      </c>
      <c r="K406">
        <v>0</v>
      </c>
      <c r="L406">
        <v>2</v>
      </c>
      <c r="M406" s="1">
        <f t="shared" si="48"/>
        <v>-0.8039471774778697</v>
      </c>
      <c r="N406" s="1">
        <f t="shared" si="49"/>
        <v>-0.72268175881584673</v>
      </c>
      <c r="O406" s="1">
        <f t="shared" si="50"/>
        <v>-0.36805253228849222</v>
      </c>
      <c r="P406">
        <f t="shared" si="51"/>
        <v>410</v>
      </c>
      <c r="Q406">
        <f t="shared" si="52"/>
        <v>400</v>
      </c>
      <c r="R406">
        <f t="shared" si="53"/>
        <v>376</v>
      </c>
      <c r="S406">
        <f t="shared" si="54"/>
        <v>1186</v>
      </c>
      <c r="T406">
        <f t="shared" si="55"/>
        <v>405</v>
      </c>
      <c r="U406" s="1" cm="1">
        <f t="array" ref="U406">MIN(ABS(M406:O406))</f>
        <v>0.36805253228849222</v>
      </c>
    </row>
    <row r="407" spans="1:21" x14ac:dyDescent="0.35">
      <c r="A407" t="s">
        <v>415</v>
      </c>
      <c r="B407" s="2">
        <v>275.64</v>
      </c>
      <c r="C407" s="2">
        <v>54.04</v>
      </c>
      <c r="D407" s="2">
        <v>76.44</v>
      </c>
      <c r="E407" s="2">
        <v>174.19</v>
      </c>
      <c r="F407" s="2">
        <v>12.88</v>
      </c>
      <c r="G407">
        <v>1</v>
      </c>
      <c r="H407">
        <v>4</v>
      </c>
      <c r="I407">
        <v>8</v>
      </c>
      <c r="J407">
        <v>0</v>
      </c>
      <c r="K407">
        <v>0</v>
      </c>
      <c r="L407">
        <v>2</v>
      </c>
      <c r="M407" s="1">
        <f t="shared" si="48"/>
        <v>-0.8039471774778697</v>
      </c>
      <c r="N407" s="1">
        <f t="shared" si="49"/>
        <v>-0.72268175881584673</v>
      </c>
      <c r="O407" s="1">
        <f t="shared" si="50"/>
        <v>-0.36805253228849222</v>
      </c>
      <c r="P407">
        <f t="shared" si="51"/>
        <v>410</v>
      </c>
      <c r="Q407">
        <f t="shared" si="52"/>
        <v>400</v>
      </c>
      <c r="R407">
        <f t="shared" si="53"/>
        <v>376</v>
      </c>
      <c r="S407">
        <f t="shared" si="54"/>
        <v>1186</v>
      </c>
      <c r="T407">
        <f t="shared" si="55"/>
        <v>405</v>
      </c>
      <c r="U407" s="1" cm="1">
        <f t="array" ref="U407">MIN(ABS(M407:O407))</f>
        <v>0.36805253228849222</v>
      </c>
    </row>
    <row r="408" spans="1:21" x14ac:dyDescent="0.35">
      <c r="A408" t="s">
        <v>433</v>
      </c>
      <c r="B408" s="2">
        <v>390.17</v>
      </c>
      <c r="C408" s="2">
        <v>61.47</v>
      </c>
      <c r="D408" s="2">
        <v>98.43</v>
      </c>
      <c r="E408" s="2">
        <v>305.7</v>
      </c>
      <c r="F408" s="2">
        <v>11.93</v>
      </c>
      <c r="G408">
        <v>1</v>
      </c>
      <c r="H408">
        <v>6</v>
      </c>
      <c r="I408">
        <v>11</v>
      </c>
      <c r="J408">
        <v>0</v>
      </c>
      <c r="K408">
        <v>0</v>
      </c>
      <c r="L408">
        <v>2</v>
      </c>
      <c r="M408" s="1">
        <f t="shared" si="48"/>
        <v>-0.8424532895917165</v>
      </c>
      <c r="N408" s="1">
        <f t="shared" si="49"/>
        <v>-0.74772535048824873</v>
      </c>
      <c r="O408" s="1">
        <f t="shared" si="50"/>
        <v>-0.21649537381141559</v>
      </c>
      <c r="P408">
        <f t="shared" si="51"/>
        <v>443</v>
      </c>
      <c r="Q408">
        <f t="shared" si="52"/>
        <v>420</v>
      </c>
      <c r="R408">
        <f t="shared" si="53"/>
        <v>325</v>
      </c>
      <c r="S408">
        <f t="shared" si="54"/>
        <v>1188</v>
      </c>
      <c r="T408">
        <f t="shared" si="55"/>
        <v>407</v>
      </c>
      <c r="U408" s="1" cm="1">
        <f t="array" ref="U408">MIN(ABS(M408:O408))</f>
        <v>0.21649537381141559</v>
      </c>
    </row>
    <row r="409" spans="1:21" x14ac:dyDescent="0.35">
      <c r="A409" t="s">
        <v>402</v>
      </c>
      <c r="B409" s="2">
        <v>202.37</v>
      </c>
      <c r="C409" s="2">
        <v>47.69</v>
      </c>
      <c r="D409" s="2">
        <v>60.86</v>
      </c>
      <c r="E409" s="2">
        <v>101.44</v>
      </c>
      <c r="F409" s="2">
        <v>10.46</v>
      </c>
      <c r="G409">
        <v>1</v>
      </c>
      <c r="H409">
        <v>3</v>
      </c>
      <c r="I409">
        <v>5</v>
      </c>
      <c r="J409">
        <v>0</v>
      </c>
      <c r="K409">
        <v>1</v>
      </c>
      <c r="L409">
        <v>2</v>
      </c>
      <c r="M409" s="1">
        <f t="shared" si="48"/>
        <v>-0.76434254089044817</v>
      </c>
      <c r="N409" s="1">
        <f t="shared" si="49"/>
        <v>-0.69926372486040422</v>
      </c>
      <c r="O409" s="1">
        <f t="shared" si="50"/>
        <v>-0.4987399318080743</v>
      </c>
      <c r="P409">
        <f t="shared" si="51"/>
        <v>387</v>
      </c>
      <c r="Q409">
        <f t="shared" si="52"/>
        <v>387</v>
      </c>
      <c r="R409">
        <f t="shared" si="53"/>
        <v>415</v>
      </c>
      <c r="S409">
        <f t="shared" si="54"/>
        <v>1189</v>
      </c>
      <c r="T409">
        <f t="shared" si="55"/>
        <v>408</v>
      </c>
      <c r="U409" s="1" cm="1">
        <f t="array" ref="U409">MIN(ABS(M409:O409))</f>
        <v>0.4987399318080743</v>
      </c>
    </row>
    <row r="410" spans="1:21" x14ac:dyDescent="0.35">
      <c r="A410" t="s">
        <v>464</v>
      </c>
      <c r="B410" s="2">
        <v>365.12</v>
      </c>
      <c r="C410" s="2">
        <v>39.25</v>
      </c>
      <c r="D410" s="2">
        <v>66.930000000000007</v>
      </c>
      <c r="E410" s="2">
        <v>352.25</v>
      </c>
      <c r="F410" s="2">
        <v>12.82</v>
      </c>
      <c r="G410">
        <v>2</v>
      </c>
      <c r="H410">
        <v>10</v>
      </c>
      <c r="I410">
        <v>18</v>
      </c>
      <c r="J410">
        <v>0</v>
      </c>
      <c r="K410">
        <v>0</v>
      </c>
      <c r="L410">
        <v>2</v>
      </c>
      <c r="M410" s="1">
        <f t="shared" si="48"/>
        <v>-0.8925010955302366</v>
      </c>
      <c r="N410" s="1">
        <f t="shared" si="49"/>
        <v>-0.81669040315512709</v>
      </c>
      <c r="O410" s="1">
        <f t="shared" si="50"/>
        <v>-3.5248685363716059E-2</v>
      </c>
      <c r="P410">
        <f t="shared" si="51"/>
        <v>467</v>
      </c>
      <c r="Q410">
        <f t="shared" si="52"/>
        <v>452</v>
      </c>
      <c r="R410">
        <f t="shared" si="53"/>
        <v>273</v>
      </c>
      <c r="S410">
        <f t="shared" si="54"/>
        <v>1192</v>
      </c>
      <c r="T410">
        <f t="shared" si="55"/>
        <v>409</v>
      </c>
      <c r="U410" s="1" cm="1">
        <f t="array" ref="U410">MIN(ABS(M410:O410))</f>
        <v>3.5248685363716059E-2</v>
      </c>
    </row>
    <row r="411" spans="1:21" x14ac:dyDescent="0.35">
      <c r="A411" t="s">
        <v>421</v>
      </c>
      <c r="B411" s="2">
        <v>14.97</v>
      </c>
      <c r="C411" s="2">
        <v>3.85</v>
      </c>
      <c r="D411" s="2">
        <v>3.99</v>
      </c>
      <c r="E411" s="2">
        <v>7.29</v>
      </c>
      <c r="F411" s="2">
        <v>14.08</v>
      </c>
      <c r="G411">
        <v>-3</v>
      </c>
      <c r="H411">
        <v>1</v>
      </c>
      <c r="I411">
        <v>5</v>
      </c>
      <c r="J411">
        <v>0</v>
      </c>
      <c r="K411">
        <v>0</v>
      </c>
      <c r="L411">
        <v>2</v>
      </c>
      <c r="M411" s="1">
        <f t="shared" si="48"/>
        <v>-0.74281897127588503</v>
      </c>
      <c r="N411" s="1">
        <f t="shared" si="49"/>
        <v>-0.73346693386773554</v>
      </c>
      <c r="O411" s="1">
        <f t="shared" si="50"/>
        <v>-0.51302605210420849</v>
      </c>
      <c r="P411">
        <f t="shared" si="51"/>
        <v>370</v>
      </c>
      <c r="Q411">
        <f t="shared" si="52"/>
        <v>407</v>
      </c>
      <c r="R411">
        <f t="shared" si="53"/>
        <v>418</v>
      </c>
      <c r="S411">
        <f t="shared" si="54"/>
        <v>1195</v>
      </c>
      <c r="T411">
        <f t="shared" si="55"/>
        <v>410</v>
      </c>
      <c r="U411" s="1" cm="1">
        <f t="array" ref="U411">MIN(ABS(M411:O411))</f>
        <v>0.51302605210420849</v>
      </c>
    </row>
    <row r="412" spans="1:21" x14ac:dyDescent="0.35">
      <c r="A412" t="s">
        <v>425</v>
      </c>
      <c r="B412" s="2">
        <v>24.13</v>
      </c>
      <c r="C412" s="2">
        <v>2.93</v>
      </c>
      <c r="D412" s="2">
        <v>6.33</v>
      </c>
      <c r="E412" s="2">
        <v>19</v>
      </c>
      <c r="F412" s="2">
        <v>12.65</v>
      </c>
      <c r="G412">
        <v>1</v>
      </c>
      <c r="H412">
        <v>4</v>
      </c>
      <c r="I412">
        <v>8</v>
      </c>
      <c r="J412">
        <v>0</v>
      </c>
      <c r="K412">
        <v>0</v>
      </c>
      <c r="L412">
        <v>2</v>
      </c>
      <c r="M412" s="1">
        <f t="shared" si="48"/>
        <v>-0.87857438872772486</v>
      </c>
      <c r="N412" s="1">
        <f t="shared" si="49"/>
        <v>-0.73767094902610864</v>
      </c>
      <c r="O412" s="1">
        <f t="shared" si="50"/>
        <v>-0.21259842519685035</v>
      </c>
      <c r="P412">
        <f t="shared" si="51"/>
        <v>460</v>
      </c>
      <c r="Q412">
        <f t="shared" si="52"/>
        <v>412</v>
      </c>
      <c r="R412">
        <f t="shared" si="53"/>
        <v>323</v>
      </c>
      <c r="S412">
        <f t="shared" si="54"/>
        <v>1195</v>
      </c>
      <c r="T412">
        <f t="shared" si="55"/>
        <v>410</v>
      </c>
      <c r="U412" s="1" cm="1">
        <f t="array" ref="U412">MIN(ABS(M412:O412))</f>
        <v>0.21259842519685035</v>
      </c>
    </row>
    <row r="413" spans="1:21" x14ac:dyDescent="0.35">
      <c r="A413" t="s">
        <v>410</v>
      </c>
      <c r="B413" s="2">
        <v>484.13</v>
      </c>
      <c r="C413" s="2">
        <v>127.13</v>
      </c>
      <c r="D413" s="2">
        <v>136.94</v>
      </c>
      <c r="E413" s="2">
        <v>206.45</v>
      </c>
      <c r="F413" s="2">
        <v>12.31</v>
      </c>
      <c r="G413">
        <v>0</v>
      </c>
      <c r="H413">
        <v>1</v>
      </c>
      <c r="I413">
        <v>5</v>
      </c>
      <c r="J413">
        <v>0</v>
      </c>
      <c r="K413">
        <v>0</v>
      </c>
      <c r="L413">
        <v>2</v>
      </c>
      <c r="M413" s="1">
        <f t="shared" si="48"/>
        <v>-0.73740524239357197</v>
      </c>
      <c r="N413" s="1">
        <f t="shared" si="49"/>
        <v>-0.71714208993452178</v>
      </c>
      <c r="O413" s="1">
        <f t="shared" si="50"/>
        <v>-0.5735649515625969</v>
      </c>
      <c r="P413">
        <f t="shared" si="51"/>
        <v>362</v>
      </c>
      <c r="Q413">
        <f t="shared" si="52"/>
        <v>395</v>
      </c>
      <c r="R413">
        <f t="shared" si="53"/>
        <v>443</v>
      </c>
      <c r="S413">
        <f t="shared" si="54"/>
        <v>1200</v>
      </c>
      <c r="T413">
        <f t="shared" si="55"/>
        <v>412</v>
      </c>
      <c r="U413" s="1" cm="1">
        <f t="array" ref="U413">MIN(ABS(M413:O413))</f>
        <v>0.5735649515625969</v>
      </c>
    </row>
    <row r="414" spans="1:21" x14ac:dyDescent="0.35">
      <c r="A414" t="s">
        <v>440</v>
      </c>
      <c r="B414" s="2">
        <v>463.11</v>
      </c>
      <c r="C414" s="2">
        <v>67.739999999999995</v>
      </c>
      <c r="D414" s="2">
        <v>114.21</v>
      </c>
      <c r="E414" s="2">
        <v>362.9</v>
      </c>
      <c r="F414" s="2">
        <v>10.81</v>
      </c>
      <c r="G414">
        <v>2</v>
      </c>
      <c r="H414">
        <v>8</v>
      </c>
      <c r="I414">
        <v>14</v>
      </c>
      <c r="J414">
        <v>0</v>
      </c>
      <c r="K414">
        <v>0</v>
      </c>
      <c r="L414">
        <v>2</v>
      </c>
      <c r="M414" s="1">
        <f t="shared" si="48"/>
        <v>-0.85372805596942414</v>
      </c>
      <c r="N414" s="1">
        <f t="shared" si="49"/>
        <v>-0.75338472501133635</v>
      </c>
      <c r="O414" s="1">
        <f t="shared" si="50"/>
        <v>-0.21638487616333058</v>
      </c>
      <c r="P414">
        <f t="shared" si="51"/>
        <v>449</v>
      </c>
      <c r="Q414">
        <f t="shared" si="52"/>
        <v>427</v>
      </c>
      <c r="R414">
        <f t="shared" si="53"/>
        <v>324</v>
      </c>
      <c r="S414">
        <f t="shared" si="54"/>
        <v>1200</v>
      </c>
      <c r="T414">
        <f t="shared" si="55"/>
        <v>412</v>
      </c>
      <c r="U414" s="1" cm="1">
        <f t="array" ref="U414">MIN(ABS(M414:O414))</f>
        <v>0.21638487616333058</v>
      </c>
    </row>
    <row r="415" spans="1:21" x14ac:dyDescent="0.35">
      <c r="A415" t="s">
        <v>409</v>
      </c>
      <c r="B415" s="2">
        <v>89.19</v>
      </c>
      <c r="C415" s="2">
        <v>24.35</v>
      </c>
      <c r="D415" s="2">
        <v>25.27</v>
      </c>
      <c r="E415" s="2">
        <v>36</v>
      </c>
      <c r="F415" s="2">
        <v>13.17</v>
      </c>
      <c r="G415">
        <v>-1</v>
      </c>
      <c r="H415">
        <v>1</v>
      </c>
      <c r="I415">
        <v>5</v>
      </c>
      <c r="J415">
        <v>0</v>
      </c>
      <c r="K415">
        <v>0</v>
      </c>
      <c r="L415">
        <v>2</v>
      </c>
      <c r="M415" s="1">
        <f t="shared" si="48"/>
        <v>-0.72698733041820829</v>
      </c>
      <c r="N415" s="1">
        <f t="shared" si="49"/>
        <v>-0.71667227267630906</v>
      </c>
      <c r="O415" s="1">
        <f t="shared" si="50"/>
        <v>-0.59636730575176589</v>
      </c>
      <c r="P415">
        <f t="shared" si="51"/>
        <v>356</v>
      </c>
      <c r="Q415">
        <f t="shared" si="52"/>
        <v>394</v>
      </c>
      <c r="R415">
        <f t="shared" si="53"/>
        <v>451</v>
      </c>
      <c r="S415">
        <f t="shared" si="54"/>
        <v>1201</v>
      </c>
      <c r="T415">
        <f t="shared" si="55"/>
        <v>414</v>
      </c>
      <c r="U415" s="1" cm="1">
        <f t="array" ref="U415">MIN(ABS(M415:O415))</f>
        <v>0.59636730575176589</v>
      </c>
    </row>
    <row r="416" spans="1:21" x14ac:dyDescent="0.35">
      <c r="A416" t="s">
        <v>417</v>
      </c>
      <c r="B416" s="2">
        <v>42.75</v>
      </c>
      <c r="C416" s="2">
        <v>11.23</v>
      </c>
      <c r="D416" s="2">
        <v>11.61</v>
      </c>
      <c r="E416" s="2">
        <v>18.45</v>
      </c>
      <c r="F416" s="2">
        <v>13.02</v>
      </c>
      <c r="G416">
        <v>-1</v>
      </c>
      <c r="H416">
        <v>1</v>
      </c>
      <c r="I416">
        <v>5</v>
      </c>
      <c r="J416">
        <v>0</v>
      </c>
      <c r="K416">
        <v>0</v>
      </c>
      <c r="L416">
        <v>2</v>
      </c>
      <c r="M416" s="1">
        <f t="shared" si="48"/>
        <v>-0.7373099415204678</v>
      </c>
      <c r="N416" s="1">
        <f t="shared" si="49"/>
        <v>-0.72842105263157897</v>
      </c>
      <c r="O416" s="1">
        <f t="shared" si="50"/>
        <v>-0.56842105263157894</v>
      </c>
      <c r="P416">
        <f t="shared" si="51"/>
        <v>361</v>
      </c>
      <c r="Q416">
        <f t="shared" si="52"/>
        <v>403</v>
      </c>
      <c r="R416">
        <f t="shared" si="53"/>
        <v>437</v>
      </c>
      <c r="S416">
        <f t="shared" si="54"/>
        <v>1201</v>
      </c>
      <c r="T416">
        <f t="shared" si="55"/>
        <v>414</v>
      </c>
      <c r="U416" s="1" cm="1">
        <f t="array" ref="U416">MIN(ABS(M416:O416))</f>
        <v>0.56842105263157894</v>
      </c>
    </row>
    <row r="417" spans="1:21" x14ac:dyDescent="0.35">
      <c r="A417" t="s">
        <v>422</v>
      </c>
      <c r="B417" s="2">
        <v>15.26</v>
      </c>
      <c r="C417" s="2">
        <v>3.62</v>
      </c>
      <c r="D417" s="2">
        <v>4.0599999999999996</v>
      </c>
      <c r="E417" s="2">
        <v>7.23</v>
      </c>
      <c r="F417" s="2">
        <v>13.95</v>
      </c>
      <c r="G417">
        <v>0</v>
      </c>
      <c r="H417">
        <v>1</v>
      </c>
      <c r="I417">
        <v>5</v>
      </c>
      <c r="J417">
        <v>0</v>
      </c>
      <c r="K417">
        <v>0</v>
      </c>
      <c r="L417">
        <v>2</v>
      </c>
      <c r="M417" s="1">
        <f t="shared" si="48"/>
        <v>-0.76277850589777196</v>
      </c>
      <c r="N417" s="1">
        <f t="shared" si="49"/>
        <v>-0.73394495412844041</v>
      </c>
      <c r="O417" s="1">
        <f t="shared" si="50"/>
        <v>-0.52621231979030147</v>
      </c>
      <c r="P417">
        <f t="shared" si="51"/>
        <v>383</v>
      </c>
      <c r="Q417">
        <f t="shared" si="52"/>
        <v>408</v>
      </c>
      <c r="R417">
        <f t="shared" si="53"/>
        <v>422</v>
      </c>
      <c r="S417">
        <f t="shared" si="54"/>
        <v>1213</v>
      </c>
      <c r="T417">
        <f t="shared" si="55"/>
        <v>416</v>
      </c>
      <c r="U417" s="1" cm="1">
        <f t="array" ref="U417">MIN(ABS(M417:O417))</f>
        <v>0.52621231979030147</v>
      </c>
    </row>
    <row r="418" spans="1:21" x14ac:dyDescent="0.35">
      <c r="A418" t="s">
        <v>422</v>
      </c>
      <c r="B418" s="2">
        <v>15.26</v>
      </c>
      <c r="C418" s="2">
        <v>3.62</v>
      </c>
      <c r="D418" s="2">
        <v>4.0599999999999996</v>
      </c>
      <c r="E418" s="2">
        <v>7.23</v>
      </c>
      <c r="F418" s="2">
        <v>13.95</v>
      </c>
      <c r="G418">
        <v>0</v>
      </c>
      <c r="H418">
        <v>1</v>
      </c>
      <c r="I418">
        <v>5</v>
      </c>
      <c r="J418">
        <v>0</v>
      </c>
      <c r="K418">
        <v>0</v>
      </c>
      <c r="L418">
        <v>2</v>
      </c>
      <c r="M418" s="1">
        <f t="shared" si="48"/>
        <v>-0.76277850589777196</v>
      </c>
      <c r="N418" s="1">
        <f t="shared" si="49"/>
        <v>-0.73394495412844041</v>
      </c>
      <c r="O418" s="1">
        <f t="shared" si="50"/>
        <v>-0.52621231979030147</v>
      </c>
      <c r="P418">
        <f t="shared" si="51"/>
        <v>383</v>
      </c>
      <c r="Q418">
        <f t="shared" si="52"/>
        <v>408</v>
      </c>
      <c r="R418">
        <f t="shared" si="53"/>
        <v>422</v>
      </c>
      <c r="S418">
        <f t="shared" si="54"/>
        <v>1213</v>
      </c>
      <c r="T418">
        <f t="shared" si="55"/>
        <v>416</v>
      </c>
      <c r="U418" s="1" cm="1">
        <f t="array" ref="U418">MIN(ABS(M418:O418))</f>
        <v>0.52621231979030147</v>
      </c>
    </row>
    <row r="419" spans="1:21" x14ac:dyDescent="0.35">
      <c r="A419" t="s">
        <v>456</v>
      </c>
      <c r="B419" s="2">
        <v>94.46</v>
      </c>
      <c r="C419" s="2">
        <v>11.83</v>
      </c>
      <c r="D419" s="2">
        <v>20.36</v>
      </c>
      <c r="E419" s="2">
        <v>77.06</v>
      </c>
      <c r="F419" s="2">
        <v>11.61</v>
      </c>
      <c r="G419">
        <v>2</v>
      </c>
      <c r="H419">
        <v>8</v>
      </c>
      <c r="I419">
        <v>14</v>
      </c>
      <c r="J419">
        <v>0</v>
      </c>
      <c r="K419">
        <v>1</v>
      </c>
      <c r="L419">
        <v>2</v>
      </c>
      <c r="M419" s="1">
        <f t="shared" si="48"/>
        <v>-0.87476180393817482</v>
      </c>
      <c r="N419" s="1">
        <f t="shared" si="49"/>
        <v>-0.78445903027736608</v>
      </c>
      <c r="O419" s="1">
        <f t="shared" si="50"/>
        <v>-0.18420495447808594</v>
      </c>
      <c r="P419">
        <f t="shared" si="51"/>
        <v>457</v>
      </c>
      <c r="Q419">
        <f t="shared" si="52"/>
        <v>444</v>
      </c>
      <c r="R419">
        <f t="shared" si="53"/>
        <v>312</v>
      </c>
      <c r="S419">
        <f t="shared" si="54"/>
        <v>1213</v>
      </c>
      <c r="T419">
        <f t="shared" si="55"/>
        <v>416</v>
      </c>
      <c r="U419" s="1" cm="1">
        <f t="array" ref="U419">MIN(ABS(M419:O419))</f>
        <v>0.18420495447808594</v>
      </c>
    </row>
    <row r="420" spans="1:21" x14ac:dyDescent="0.35">
      <c r="A420" t="s">
        <v>412</v>
      </c>
      <c r="B420" s="2">
        <v>78.819999999999993</v>
      </c>
      <c r="C420" s="2">
        <v>16.170000000000002</v>
      </c>
      <c r="D420" s="2">
        <v>22.15</v>
      </c>
      <c r="E420" s="2">
        <v>39.020000000000003</v>
      </c>
      <c r="F420" s="2">
        <v>9.2899999999999991</v>
      </c>
      <c r="G420">
        <v>1</v>
      </c>
      <c r="H420">
        <v>4</v>
      </c>
      <c r="I420">
        <v>6</v>
      </c>
      <c r="J420">
        <v>0</v>
      </c>
      <c r="K420">
        <v>2</v>
      </c>
      <c r="L420">
        <v>4</v>
      </c>
      <c r="M420" s="1">
        <f t="shared" si="48"/>
        <v>-0.79484902309058614</v>
      </c>
      <c r="N420" s="1">
        <f t="shared" si="49"/>
        <v>-0.71897995432631312</v>
      </c>
      <c r="O420" s="1">
        <f t="shared" si="50"/>
        <v>-0.5049479827454959</v>
      </c>
      <c r="P420">
        <f t="shared" si="51"/>
        <v>401</v>
      </c>
      <c r="Q420">
        <f t="shared" si="52"/>
        <v>397</v>
      </c>
      <c r="R420">
        <f t="shared" si="53"/>
        <v>416</v>
      </c>
      <c r="S420">
        <f t="shared" si="54"/>
        <v>1214</v>
      </c>
      <c r="T420">
        <f t="shared" si="55"/>
        <v>419</v>
      </c>
      <c r="U420" s="1" cm="1">
        <f t="array" ref="U420">MIN(ABS(M420:O420))</f>
        <v>0.5049479827454959</v>
      </c>
    </row>
    <row r="421" spans="1:21" x14ac:dyDescent="0.35">
      <c r="A421" t="s">
        <v>420</v>
      </c>
      <c r="B421" s="2">
        <v>153.27000000000001</v>
      </c>
      <c r="C421" s="2">
        <v>39.549999999999997</v>
      </c>
      <c r="D421" s="2">
        <v>40.909999999999997</v>
      </c>
      <c r="E421" s="2">
        <v>66.099999999999994</v>
      </c>
      <c r="F421" s="2">
        <v>13.2</v>
      </c>
      <c r="G421">
        <v>-2</v>
      </c>
      <c r="H421">
        <v>1</v>
      </c>
      <c r="I421">
        <v>5</v>
      </c>
      <c r="J421">
        <v>0</v>
      </c>
      <c r="K421">
        <v>0</v>
      </c>
      <c r="L421">
        <v>2</v>
      </c>
      <c r="M421" s="1">
        <f t="shared" si="48"/>
        <v>-0.74195863508840609</v>
      </c>
      <c r="N421" s="1">
        <f t="shared" si="49"/>
        <v>-0.73308540484113005</v>
      </c>
      <c r="O421" s="1">
        <f t="shared" si="50"/>
        <v>-0.56873491224636274</v>
      </c>
      <c r="P421">
        <f t="shared" si="51"/>
        <v>369</v>
      </c>
      <c r="Q421">
        <f t="shared" si="52"/>
        <v>406</v>
      </c>
      <c r="R421">
        <f t="shared" si="53"/>
        <v>439</v>
      </c>
      <c r="S421">
        <f t="shared" si="54"/>
        <v>1214</v>
      </c>
      <c r="T421">
        <f t="shared" si="55"/>
        <v>419</v>
      </c>
      <c r="U421" s="1" cm="1">
        <f t="array" ref="U421">MIN(ABS(M421:O421))</f>
        <v>0.56873491224636274</v>
      </c>
    </row>
    <row r="422" spans="1:21" x14ac:dyDescent="0.35">
      <c r="A422" t="s">
        <v>419</v>
      </c>
      <c r="B422" s="2">
        <v>278.06</v>
      </c>
      <c r="C422" s="2">
        <v>57.04</v>
      </c>
      <c r="D422" s="2">
        <v>74.569999999999993</v>
      </c>
      <c r="E422" s="2">
        <v>141.18</v>
      </c>
      <c r="F422" s="2">
        <v>11.14</v>
      </c>
      <c r="G422">
        <v>1</v>
      </c>
      <c r="H422">
        <v>4</v>
      </c>
      <c r="I422">
        <v>8</v>
      </c>
      <c r="J422">
        <v>0</v>
      </c>
      <c r="K422">
        <v>1</v>
      </c>
      <c r="L422">
        <v>2</v>
      </c>
      <c r="M422" s="1">
        <f t="shared" si="48"/>
        <v>-0.79486441775156447</v>
      </c>
      <c r="N422" s="1">
        <f t="shared" si="49"/>
        <v>-0.73182047040207154</v>
      </c>
      <c r="O422" s="1">
        <f t="shared" si="50"/>
        <v>-0.49226785585844779</v>
      </c>
      <c r="P422">
        <f t="shared" si="51"/>
        <v>402</v>
      </c>
      <c r="Q422">
        <f t="shared" si="52"/>
        <v>405</v>
      </c>
      <c r="R422">
        <f t="shared" si="53"/>
        <v>413</v>
      </c>
      <c r="S422">
        <f t="shared" si="54"/>
        <v>1220</v>
      </c>
      <c r="T422">
        <f t="shared" si="55"/>
        <v>421</v>
      </c>
      <c r="U422" s="1" cm="1">
        <f t="array" ref="U422">MIN(ABS(M422:O422))</f>
        <v>0.49226785585844779</v>
      </c>
    </row>
    <row r="423" spans="1:21" x14ac:dyDescent="0.35">
      <c r="A423" t="s">
        <v>445</v>
      </c>
      <c r="B423" s="2">
        <v>35.29</v>
      </c>
      <c r="C423" s="2">
        <v>5.8</v>
      </c>
      <c r="D423" s="2">
        <v>8.24</v>
      </c>
      <c r="E423" s="2">
        <v>24.56</v>
      </c>
      <c r="F423" s="2">
        <v>11.24</v>
      </c>
      <c r="G423">
        <v>2</v>
      </c>
      <c r="H423">
        <v>9</v>
      </c>
      <c r="I423">
        <v>15</v>
      </c>
      <c r="J423">
        <v>0</v>
      </c>
      <c r="K423">
        <v>1</v>
      </c>
      <c r="L423">
        <v>2</v>
      </c>
      <c r="M423" s="1">
        <f t="shared" si="48"/>
        <v>-0.83564749220742418</v>
      </c>
      <c r="N423" s="1">
        <f t="shared" si="49"/>
        <v>-0.76650609237744405</v>
      </c>
      <c r="O423" s="1">
        <f t="shared" si="50"/>
        <v>-0.3040521394162653</v>
      </c>
      <c r="P423">
        <f t="shared" si="51"/>
        <v>435</v>
      </c>
      <c r="Q423">
        <f t="shared" si="52"/>
        <v>432</v>
      </c>
      <c r="R423">
        <f t="shared" si="53"/>
        <v>353</v>
      </c>
      <c r="S423">
        <f t="shared" si="54"/>
        <v>1220</v>
      </c>
      <c r="T423">
        <f t="shared" si="55"/>
        <v>421</v>
      </c>
      <c r="U423" s="1" cm="1">
        <f t="array" ref="U423">MIN(ABS(M423:O423))</f>
        <v>0.3040521394162653</v>
      </c>
    </row>
    <row r="424" spans="1:21" x14ac:dyDescent="0.35">
      <c r="A424" t="s">
        <v>424</v>
      </c>
      <c r="B424" s="2">
        <v>123.24</v>
      </c>
      <c r="C424" s="2">
        <v>33.32</v>
      </c>
      <c r="D424" s="2">
        <v>32.35</v>
      </c>
      <c r="E424" s="2">
        <v>47.16</v>
      </c>
      <c r="F424" s="2">
        <v>11.74</v>
      </c>
      <c r="G424">
        <v>-3</v>
      </c>
      <c r="H424">
        <v>1</v>
      </c>
      <c r="I424">
        <v>5</v>
      </c>
      <c r="J424">
        <v>0</v>
      </c>
      <c r="K424">
        <v>0</v>
      </c>
      <c r="L424">
        <v>2</v>
      </c>
      <c r="M424" s="1">
        <f t="shared" si="48"/>
        <v>-0.72963323596234986</v>
      </c>
      <c r="N424" s="1">
        <f t="shared" si="49"/>
        <v>-0.73750405712431033</v>
      </c>
      <c r="O424" s="1">
        <f t="shared" si="50"/>
        <v>-0.61733203505355405</v>
      </c>
      <c r="P424">
        <f t="shared" si="51"/>
        <v>357</v>
      </c>
      <c r="Q424">
        <f t="shared" si="52"/>
        <v>411</v>
      </c>
      <c r="R424">
        <f t="shared" si="53"/>
        <v>458</v>
      </c>
      <c r="S424">
        <f t="shared" si="54"/>
        <v>1226</v>
      </c>
      <c r="T424">
        <f t="shared" si="55"/>
        <v>423</v>
      </c>
      <c r="U424" s="1" cm="1">
        <f t="array" ref="U424">MIN(ABS(M424:O424))</f>
        <v>0.61733203505355405</v>
      </c>
    </row>
    <row r="425" spans="1:21" x14ac:dyDescent="0.35">
      <c r="A425" t="s">
        <v>416</v>
      </c>
      <c r="B425" s="2">
        <v>129.36000000000001</v>
      </c>
      <c r="C425" s="2">
        <v>30.67</v>
      </c>
      <c r="D425" s="2">
        <v>35.53</v>
      </c>
      <c r="E425" s="2">
        <v>55.15</v>
      </c>
      <c r="F425" s="2">
        <v>11.74</v>
      </c>
      <c r="G425">
        <v>0</v>
      </c>
      <c r="H425">
        <v>2</v>
      </c>
      <c r="I425">
        <v>5</v>
      </c>
      <c r="J425">
        <v>0</v>
      </c>
      <c r="K425">
        <v>0</v>
      </c>
      <c r="L425">
        <v>2</v>
      </c>
      <c r="M425" s="1">
        <f t="shared" si="48"/>
        <v>-0.76290970933828084</v>
      </c>
      <c r="N425" s="1">
        <f t="shared" si="49"/>
        <v>-0.72534013605442182</v>
      </c>
      <c r="O425" s="1">
        <f t="shared" si="50"/>
        <v>-0.57367037724180592</v>
      </c>
      <c r="P425">
        <f t="shared" si="51"/>
        <v>385</v>
      </c>
      <c r="Q425">
        <f t="shared" si="52"/>
        <v>402</v>
      </c>
      <c r="R425">
        <f t="shared" si="53"/>
        <v>444</v>
      </c>
      <c r="S425">
        <f t="shared" si="54"/>
        <v>1231</v>
      </c>
      <c r="T425">
        <f t="shared" si="55"/>
        <v>424</v>
      </c>
      <c r="U425" s="1" cm="1">
        <f t="array" ref="U425">MIN(ABS(M425:O425))</f>
        <v>0.57367037724180592</v>
      </c>
    </row>
    <row r="426" spans="1:21" x14ac:dyDescent="0.35">
      <c r="A426" t="s">
        <v>426</v>
      </c>
      <c r="B426" s="2">
        <v>88.44</v>
      </c>
      <c r="C426" s="2">
        <v>22.5</v>
      </c>
      <c r="D426" s="2">
        <v>23.08</v>
      </c>
      <c r="E426" s="2">
        <v>35.19</v>
      </c>
      <c r="F426" s="2">
        <v>13.04</v>
      </c>
      <c r="G426">
        <v>-1</v>
      </c>
      <c r="H426">
        <v>1</v>
      </c>
      <c r="I426">
        <v>5</v>
      </c>
      <c r="J426">
        <v>0</v>
      </c>
      <c r="K426">
        <v>0</v>
      </c>
      <c r="L426">
        <v>2</v>
      </c>
      <c r="M426" s="1">
        <f t="shared" si="48"/>
        <v>-0.74559023066485752</v>
      </c>
      <c r="N426" s="1">
        <f t="shared" si="49"/>
        <v>-0.73903211216644049</v>
      </c>
      <c r="O426" s="1">
        <f t="shared" si="50"/>
        <v>-0.60210312075983718</v>
      </c>
      <c r="P426">
        <f t="shared" si="51"/>
        <v>371</v>
      </c>
      <c r="Q426">
        <f t="shared" si="52"/>
        <v>413</v>
      </c>
      <c r="R426">
        <f t="shared" si="53"/>
        <v>453</v>
      </c>
      <c r="S426">
        <f t="shared" si="54"/>
        <v>1237</v>
      </c>
      <c r="T426">
        <f t="shared" si="55"/>
        <v>425</v>
      </c>
      <c r="U426" s="1" cm="1">
        <f t="array" ref="U426">MIN(ABS(M426:O426))</f>
        <v>0.60210312075983718</v>
      </c>
    </row>
    <row r="427" spans="1:21" x14ac:dyDescent="0.35">
      <c r="A427" t="s">
        <v>423</v>
      </c>
      <c r="B427" s="2">
        <v>192.59</v>
      </c>
      <c r="C427" s="2">
        <v>47.06</v>
      </c>
      <c r="D427" s="2">
        <v>50.65</v>
      </c>
      <c r="E427" s="2">
        <v>76.569999999999993</v>
      </c>
      <c r="F427" s="2">
        <v>11.96</v>
      </c>
      <c r="G427">
        <v>0</v>
      </c>
      <c r="H427">
        <v>1</v>
      </c>
      <c r="I427">
        <v>5</v>
      </c>
      <c r="J427">
        <v>0</v>
      </c>
      <c r="K427">
        <v>0</v>
      </c>
      <c r="L427">
        <v>2</v>
      </c>
      <c r="M427" s="1">
        <f t="shared" si="48"/>
        <v>-0.75564671062879696</v>
      </c>
      <c r="N427" s="1">
        <f t="shared" si="49"/>
        <v>-0.73700607508177995</v>
      </c>
      <c r="O427" s="1">
        <f t="shared" si="50"/>
        <v>-0.60241964795679948</v>
      </c>
      <c r="P427">
        <f t="shared" si="51"/>
        <v>378</v>
      </c>
      <c r="Q427">
        <f t="shared" si="52"/>
        <v>410</v>
      </c>
      <c r="R427">
        <f t="shared" si="53"/>
        <v>454</v>
      </c>
      <c r="S427">
        <f t="shared" si="54"/>
        <v>1242</v>
      </c>
      <c r="T427">
        <f t="shared" si="55"/>
        <v>426</v>
      </c>
      <c r="U427" s="1" cm="1">
        <f t="array" ref="U427">MIN(ABS(M427:O427))</f>
        <v>0.60241964795679948</v>
      </c>
    </row>
    <row r="428" spans="1:21" x14ac:dyDescent="0.35">
      <c r="A428" t="s">
        <v>432</v>
      </c>
      <c r="B428" s="2">
        <v>292.82</v>
      </c>
      <c r="C428" s="2">
        <v>76.45</v>
      </c>
      <c r="D428" s="2">
        <v>74</v>
      </c>
      <c r="E428" s="2">
        <v>109.89</v>
      </c>
      <c r="F428" s="2">
        <v>11.91</v>
      </c>
      <c r="G428">
        <v>-3</v>
      </c>
      <c r="H428">
        <v>1</v>
      </c>
      <c r="I428">
        <v>5</v>
      </c>
      <c r="J428">
        <v>0</v>
      </c>
      <c r="K428">
        <v>0</v>
      </c>
      <c r="L428">
        <v>2</v>
      </c>
      <c r="M428" s="1">
        <f t="shared" si="48"/>
        <v>-0.73891810668670166</v>
      </c>
      <c r="N428" s="1">
        <f t="shared" si="49"/>
        <v>-0.74728502151492382</v>
      </c>
      <c r="O428" s="1">
        <f t="shared" si="50"/>
        <v>-0.62471825694966188</v>
      </c>
      <c r="P428">
        <f t="shared" si="51"/>
        <v>364</v>
      </c>
      <c r="Q428">
        <f t="shared" si="52"/>
        <v>419</v>
      </c>
      <c r="R428">
        <f t="shared" si="53"/>
        <v>461</v>
      </c>
      <c r="S428">
        <f t="shared" si="54"/>
        <v>1244</v>
      </c>
      <c r="T428">
        <f t="shared" si="55"/>
        <v>427</v>
      </c>
      <c r="U428" s="1" cm="1">
        <f t="array" ref="U428">MIN(ABS(M428:O428))</f>
        <v>0.62471825694966188</v>
      </c>
    </row>
    <row r="429" spans="1:21" x14ac:dyDescent="0.35">
      <c r="A429" t="s">
        <v>439</v>
      </c>
      <c r="B429" s="2">
        <v>225</v>
      </c>
      <c r="C429" s="2">
        <v>42.65</v>
      </c>
      <c r="D429" s="2">
        <v>55.74</v>
      </c>
      <c r="E429" s="2">
        <v>121.22</v>
      </c>
      <c r="F429" s="2">
        <v>11.07</v>
      </c>
      <c r="G429">
        <v>2</v>
      </c>
      <c r="H429">
        <v>7</v>
      </c>
      <c r="I429">
        <v>13</v>
      </c>
      <c r="J429">
        <v>0</v>
      </c>
      <c r="K429">
        <v>1</v>
      </c>
      <c r="L429">
        <v>2</v>
      </c>
      <c r="M429" s="1">
        <f t="shared" si="48"/>
        <v>-0.81044444444444441</v>
      </c>
      <c r="N429" s="1">
        <f t="shared" si="49"/>
        <v>-0.75226666666666664</v>
      </c>
      <c r="O429" s="1">
        <f t="shared" si="50"/>
        <v>-0.46124444444444446</v>
      </c>
      <c r="P429">
        <f t="shared" si="51"/>
        <v>415</v>
      </c>
      <c r="Q429">
        <f t="shared" si="52"/>
        <v>426</v>
      </c>
      <c r="R429">
        <f t="shared" si="53"/>
        <v>405</v>
      </c>
      <c r="S429">
        <f t="shared" si="54"/>
        <v>1246</v>
      </c>
      <c r="T429">
        <f t="shared" si="55"/>
        <v>428</v>
      </c>
      <c r="U429" s="1" cm="1">
        <f t="array" ref="U429">MIN(ABS(M429:O429))</f>
        <v>0.46124444444444446</v>
      </c>
    </row>
    <row r="430" spans="1:21" x14ac:dyDescent="0.35">
      <c r="A430" t="s">
        <v>435</v>
      </c>
      <c r="B430" s="2">
        <v>323.48</v>
      </c>
      <c r="C430" s="2">
        <v>84.48</v>
      </c>
      <c r="D430" s="2">
        <v>81.53</v>
      </c>
      <c r="E430" s="2">
        <v>120.85</v>
      </c>
      <c r="F430" s="2">
        <v>12.53</v>
      </c>
      <c r="G430">
        <v>-3</v>
      </c>
      <c r="H430">
        <v>1</v>
      </c>
      <c r="I430">
        <v>5</v>
      </c>
      <c r="J430">
        <v>0</v>
      </c>
      <c r="K430">
        <v>0</v>
      </c>
      <c r="L430">
        <v>2</v>
      </c>
      <c r="M430" s="1">
        <f t="shared" si="48"/>
        <v>-0.73884011376282921</v>
      </c>
      <c r="N430" s="1">
        <f t="shared" si="49"/>
        <v>-0.74795968838877214</v>
      </c>
      <c r="O430" s="1">
        <f t="shared" si="50"/>
        <v>-0.62640657845925563</v>
      </c>
      <c r="P430">
        <f t="shared" si="51"/>
        <v>363</v>
      </c>
      <c r="Q430">
        <f t="shared" si="52"/>
        <v>422</v>
      </c>
      <c r="R430">
        <f t="shared" si="53"/>
        <v>462</v>
      </c>
      <c r="S430">
        <f t="shared" si="54"/>
        <v>1247</v>
      </c>
      <c r="T430">
        <f t="shared" si="55"/>
        <v>429</v>
      </c>
      <c r="U430" s="1" cm="1">
        <f t="array" ref="U430">MIN(ABS(M430:O430))</f>
        <v>0.62640657845925563</v>
      </c>
    </row>
    <row r="431" spans="1:21" x14ac:dyDescent="0.35">
      <c r="A431" t="s">
        <v>418</v>
      </c>
      <c r="B431" s="2">
        <v>171.27</v>
      </c>
      <c r="C431" s="2">
        <v>36.979999999999997</v>
      </c>
      <c r="D431" s="2">
        <v>45.94</v>
      </c>
      <c r="E431" s="2">
        <v>70.77</v>
      </c>
      <c r="F431" s="2">
        <v>10.82</v>
      </c>
      <c r="G431">
        <v>0</v>
      </c>
      <c r="H431">
        <v>1</v>
      </c>
      <c r="I431">
        <v>5</v>
      </c>
      <c r="J431">
        <v>0</v>
      </c>
      <c r="K431">
        <v>2</v>
      </c>
      <c r="L431">
        <v>3</v>
      </c>
      <c r="M431" s="1">
        <f t="shared" si="48"/>
        <v>-0.78408361067320609</v>
      </c>
      <c r="N431" s="1">
        <f t="shared" si="49"/>
        <v>-0.73176855257780116</v>
      </c>
      <c r="O431" s="1">
        <f t="shared" si="50"/>
        <v>-0.5867927833245753</v>
      </c>
      <c r="P431">
        <f t="shared" si="51"/>
        <v>396</v>
      </c>
      <c r="Q431">
        <f t="shared" si="52"/>
        <v>404</v>
      </c>
      <c r="R431">
        <f t="shared" si="53"/>
        <v>448</v>
      </c>
      <c r="S431">
        <f t="shared" si="54"/>
        <v>1248</v>
      </c>
      <c r="T431">
        <f t="shared" si="55"/>
        <v>430</v>
      </c>
      <c r="U431" s="1" cm="1">
        <f t="array" ref="U431">MIN(ABS(M431:O431))</f>
        <v>0.5867927833245753</v>
      </c>
    </row>
    <row r="432" spans="1:21" x14ac:dyDescent="0.35">
      <c r="A432" t="s">
        <v>437</v>
      </c>
      <c r="B432" s="2">
        <v>136.84</v>
      </c>
      <c r="C432" s="2">
        <v>33.68</v>
      </c>
      <c r="D432" s="2">
        <v>34.29</v>
      </c>
      <c r="E432" s="2">
        <v>55.19</v>
      </c>
      <c r="F432" s="2">
        <v>13.26</v>
      </c>
      <c r="G432">
        <v>-2</v>
      </c>
      <c r="H432">
        <v>1</v>
      </c>
      <c r="I432">
        <v>5</v>
      </c>
      <c r="J432">
        <v>0</v>
      </c>
      <c r="K432">
        <v>0</v>
      </c>
      <c r="L432">
        <v>2</v>
      </c>
      <c r="M432" s="1">
        <f t="shared" si="48"/>
        <v>-0.75387313650979249</v>
      </c>
      <c r="N432" s="1">
        <f t="shared" si="49"/>
        <v>-0.74941537562116345</v>
      </c>
      <c r="O432" s="1">
        <f t="shared" si="50"/>
        <v>-0.59668225665010233</v>
      </c>
      <c r="P432">
        <f t="shared" si="51"/>
        <v>376</v>
      </c>
      <c r="Q432">
        <f t="shared" si="52"/>
        <v>424</v>
      </c>
      <c r="R432">
        <f t="shared" si="53"/>
        <v>452</v>
      </c>
      <c r="S432">
        <f t="shared" si="54"/>
        <v>1252</v>
      </c>
      <c r="T432">
        <f t="shared" si="55"/>
        <v>431</v>
      </c>
      <c r="U432" s="1" cm="1">
        <f t="array" ref="U432">MIN(ABS(M432:O432))</f>
        <v>0.59668225665010233</v>
      </c>
    </row>
    <row r="433" spans="1:21" x14ac:dyDescent="0.35">
      <c r="A433" t="s">
        <v>428</v>
      </c>
      <c r="B433" s="2">
        <v>303.94</v>
      </c>
      <c r="C433" s="2">
        <v>75.06</v>
      </c>
      <c r="D433" s="2">
        <v>78.08</v>
      </c>
      <c r="E433" s="2">
        <v>105.97</v>
      </c>
      <c r="F433" s="2">
        <v>13.71</v>
      </c>
      <c r="G433">
        <v>-1</v>
      </c>
      <c r="H433">
        <v>1</v>
      </c>
      <c r="I433">
        <v>5</v>
      </c>
      <c r="J433">
        <v>0</v>
      </c>
      <c r="K433">
        <v>0</v>
      </c>
      <c r="L433">
        <v>2</v>
      </c>
      <c r="M433" s="1">
        <f t="shared" si="48"/>
        <v>-0.75304336382180692</v>
      </c>
      <c r="N433" s="1">
        <f t="shared" si="49"/>
        <v>-0.74310719220898869</v>
      </c>
      <c r="O433" s="1">
        <f t="shared" si="50"/>
        <v>-0.65134566032769625</v>
      </c>
      <c r="P433">
        <f t="shared" si="51"/>
        <v>375</v>
      </c>
      <c r="Q433">
        <f t="shared" si="52"/>
        <v>415</v>
      </c>
      <c r="R433">
        <f t="shared" si="53"/>
        <v>466</v>
      </c>
      <c r="S433">
        <f t="shared" si="54"/>
        <v>1256</v>
      </c>
      <c r="T433">
        <f t="shared" si="55"/>
        <v>432</v>
      </c>
      <c r="U433" s="1" cm="1">
        <f t="array" ref="U433">MIN(ABS(M433:O433))</f>
        <v>0.65134566032769625</v>
      </c>
    </row>
    <row r="434" spans="1:21" x14ac:dyDescent="0.35">
      <c r="A434" t="s">
        <v>430</v>
      </c>
      <c r="B434" s="2">
        <v>47.45</v>
      </c>
      <c r="C434" s="2">
        <v>10.85</v>
      </c>
      <c r="D434" s="2">
        <v>12.11</v>
      </c>
      <c r="E434" s="2">
        <v>18.760000000000002</v>
      </c>
      <c r="F434" s="2">
        <v>10.53</v>
      </c>
      <c r="G434">
        <v>0</v>
      </c>
      <c r="H434">
        <v>1</v>
      </c>
      <c r="I434">
        <v>5</v>
      </c>
      <c r="J434">
        <v>0</v>
      </c>
      <c r="K434">
        <v>1</v>
      </c>
      <c r="L434">
        <v>2</v>
      </c>
      <c r="M434" s="1">
        <f t="shared" si="48"/>
        <v>-0.7713382507903056</v>
      </c>
      <c r="N434" s="1">
        <f t="shared" si="49"/>
        <v>-0.74478398314014749</v>
      </c>
      <c r="O434" s="1">
        <f t="shared" si="50"/>
        <v>-0.60463645943097999</v>
      </c>
      <c r="P434">
        <f t="shared" si="51"/>
        <v>389</v>
      </c>
      <c r="Q434">
        <f t="shared" si="52"/>
        <v>417</v>
      </c>
      <c r="R434">
        <f t="shared" si="53"/>
        <v>455</v>
      </c>
      <c r="S434">
        <f t="shared" si="54"/>
        <v>1261</v>
      </c>
      <c r="T434">
        <f t="shared" si="55"/>
        <v>433</v>
      </c>
      <c r="U434" s="1" cm="1">
        <f t="array" ref="U434">MIN(ABS(M434:O434))</f>
        <v>0.60463645943097999</v>
      </c>
    </row>
    <row r="435" spans="1:21" x14ac:dyDescent="0.35">
      <c r="A435" t="s">
        <v>438</v>
      </c>
      <c r="B435" s="2">
        <v>245.55</v>
      </c>
      <c r="C435" s="2">
        <v>46.64</v>
      </c>
      <c r="D435" s="2">
        <v>61.44</v>
      </c>
      <c r="E435" s="2">
        <v>114.35</v>
      </c>
      <c r="F435" s="2">
        <v>12.41</v>
      </c>
      <c r="G435">
        <v>1</v>
      </c>
      <c r="H435">
        <v>4</v>
      </c>
      <c r="I435">
        <v>6</v>
      </c>
      <c r="J435">
        <v>0</v>
      </c>
      <c r="K435">
        <v>0</v>
      </c>
      <c r="L435">
        <v>2</v>
      </c>
      <c r="M435" s="1">
        <f t="shared" si="48"/>
        <v>-0.81005905110975363</v>
      </c>
      <c r="N435" s="1">
        <f t="shared" si="49"/>
        <v>-0.74978619425778859</v>
      </c>
      <c r="O435" s="1">
        <f t="shared" si="50"/>
        <v>-0.53431073101201387</v>
      </c>
      <c r="P435">
        <f t="shared" si="51"/>
        <v>414</v>
      </c>
      <c r="Q435">
        <f t="shared" si="52"/>
        <v>425</v>
      </c>
      <c r="R435">
        <f t="shared" si="53"/>
        <v>426</v>
      </c>
      <c r="S435">
        <f t="shared" si="54"/>
        <v>1265</v>
      </c>
      <c r="T435">
        <f t="shared" si="55"/>
        <v>434</v>
      </c>
      <c r="U435" s="1" cm="1">
        <f t="array" ref="U435">MIN(ABS(M435:O435))</f>
        <v>0.53431073101201387</v>
      </c>
    </row>
    <row r="436" spans="1:21" x14ac:dyDescent="0.35">
      <c r="A436" t="s">
        <v>442</v>
      </c>
      <c r="B436" s="2">
        <v>183.8</v>
      </c>
      <c r="C436" s="2">
        <v>29.67</v>
      </c>
      <c r="D436" s="2">
        <v>44.18</v>
      </c>
      <c r="E436" s="2">
        <v>104.77</v>
      </c>
      <c r="F436" s="2">
        <v>11.44</v>
      </c>
      <c r="G436">
        <v>1</v>
      </c>
      <c r="H436">
        <v>5</v>
      </c>
      <c r="I436">
        <v>10</v>
      </c>
      <c r="J436">
        <v>0</v>
      </c>
      <c r="K436">
        <v>0</v>
      </c>
      <c r="L436">
        <v>2</v>
      </c>
      <c r="M436" s="1">
        <f t="shared" si="48"/>
        <v>-0.83857453754080524</v>
      </c>
      <c r="N436" s="1">
        <f t="shared" si="49"/>
        <v>-0.7596300326441785</v>
      </c>
      <c r="O436" s="1">
        <f t="shared" si="50"/>
        <v>-0.42997823721436346</v>
      </c>
      <c r="P436">
        <f t="shared" si="51"/>
        <v>438</v>
      </c>
      <c r="Q436">
        <f t="shared" si="52"/>
        <v>429</v>
      </c>
      <c r="R436">
        <f t="shared" si="53"/>
        <v>398</v>
      </c>
      <c r="S436">
        <f t="shared" si="54"/>
        <v>1265</v>
      </c>
      <c r="T436">
        <f t="shared" si="55"/>
        <v>434</v>
      </c>
      <c r="U436" s="1" cm="1">
        <f t="array" ref="U436">MIN(ABS(M436:O436))</f>
        <v>0.42997823721436346</v>
      </c>
    </row>
    <row r="437" spans="1:21" x14ac:dyDescent="0.35">
      <c r="A437" t="s">
        <v>434</v>
      </c>
      <c r="B437" s="2">
        <v>272.62</v>
      </c>
      <c r="C437" s="2">
        <v>62.09</v>
      </c>
      <c r="D437" s="2">
        <v>68.739999999999995</v>
      </c>
      <c r="E437" s="2">
        <v>106.93</v>
      </c>
      <c r="F437" s="2">
        <v>11.74</v>
      </c>
      <c r="G437">
        <v>0</v>
      </c>
      <c r="H437">
        <v>1</v>
      </c>
      <c r="I437">
        <v>5</v>
      </c>
      <c r="J437">
        <v>0</v>
      </c>
      <c r="K437">
        <v>0</v>
      </c>
      <c r="L437">
        <v>2</v>
      </c>
      <c r="M437" s="1">
        <f t="shared" si="48"/>
        <v>-0.77224708385298213</v>
      </c>
      <c r="N437" s="1">
        <f t="shared" si="49"/>
        <v>-0.74785415596801408</v>
      </c>
      <c r="O437" s="1">
        <f t="shared" si="50"/>
        <v>-0.60776905582862595</v>
      </c>
      <c r="P437">
        <f t="shared" si="51"/>
        <v>390</v>
      </c>
      <c r="Q437">
        <f t="shared" si="52"/>
        <v>421</v>
      </c>
      <c r="R437">
        <f t="shared" si="53"/>
        <v>456</v>
      </c>
      <c r="S437">
        <f t="shared" si="54"/>
        <v>1267</v>
      </c>
      <c r="T437">
        <f t="shared" si="55"/>
        <v>436</v>
      </c>
      <c r="U437" s="1" cm="1">
        <f t="array" ref="U437">MIN(ABS(M437:O437))</f>
        <v>0.60776905582862595</v>
      </c>
    </row>
    <row r="438" spans="1:21" x14ac:dyDescent="0.35">
      <c r="A438" t="s">
        <v>431</v>
      </c>
      <c r="B438" s="2">
        <v>641.14</v>
      </c>
      <c r="C438" s="2">
        <v>128.6</v>
      </c>
      <c r="D438" s="2">
        <v>163</v>
      </c>
      <c r="E438" s="2">
        <v>263.19</v>
      </c>
      <c r="F438" s="2">
        <v>9.69</v>
      </c>
      <c r="G438">
        <v>1</v>
      </c>
      <c r="H438">
        <v>3</v>
      </c>
      <c r="I438">
        <v>5</v>
      </c>
      <c r="J438">
        <v>0</v>
      </c>
      <c r="K438">
        <v>1</v>
      </c>
      <c r="L438">
        <v>2</v>
      </c>
      <c r="M438" s="1">
        <f t="shared" si="48"/>
        <v>-0.79941978351062171</v>
      </c>
      <c r="N438" s="1">
        <f t="shared" si="49"/>
        <v>-0.74576535546058587</v>
      </c>
      <c r="O438" s="1">
        <f t="shared" si="50"/>
        <v>-0.58949683376485629</v>
      </c>
      <c r="P438">
        <f t="shared" si="51"/>
        <v>406</v>
      </c>
      <c r="Q438">
        <f t="shared" si="52"/>
        <v>418</v>
      </c>
      <c r="R438">
        <f t="shared" si="53"/>
        <v>450</v>
      </c>
      <c r="S438">
        <f t="shared" si="54"/>
        <v>1274</v>
      </c>
      <c r="T438">
        <f t="shared" si="55"/>
        <v>437</v>
      </c>
      <c r="U438" s="1" cm="1">
        <f t="array" ref="U438">MIN(ABS(M438:O438))</f>
        <v>0.58949683376485629</v>
      </c>
    </row>
    <row r="439" spans="1:21" x14ac:dyDescent="0.35">
      <c r="A439" t="s">
        <v>466</v>
      </c>
      <c r="B439" s="2">
        <v>36.71</v>
      </c>
      <c r="C439" s="2">
        <v>3.76</v>
      </c>
      <c r="D439" s="2">
        <v>6.58</v>
      </c>
      <c r="E439" s="2">
        <v>25.8</v>
      </c>
      <c r="F439" s="2">
        <v>13.35</v>
      </c>
      <c r="G439">
        <v>2</v>
      </c>
      <c r="H439">
        <v>8</v>
      </c>
      <c r="I439">
        <v>14</v>
      </c>
      <c r="J439">
        <v>0</v>
      </c>
      <c r="K439">
        <v>0</v>
      </c>
      <c r="L439">
        <v>2</v>
      </c>
      <c r="M439" s="1">
        <f t="shared" si="48"/>
        <v>-0.89757559248161267</v>
      </c>
      <c r="N439" s="1">
        <f t="shared" si="49"/>
        <v>-0.82075728684282212</v>
      </c>
      <c r="O439" s="1">
        <f t="shared" si="50"/>
        <v>-0.29719422500681014</v>
      </c>
      <c r="P439">
        <f t="shared" si="51"/>
        <v>472</v>
      </c>
      <c r="Q439">
        <f t="shared" si="52"/>
        <v>454</v>
      </c>
      <c r="R439">
        <f t="shared" si="53"/>
        <v>351</v>
      </c>
      <c r="S439">
        <f t="shared" si="54"/>
        <v>1277</v>
      </c>
      <c r="T439">
        <f t="shared" si="55"/>
        <v>438</v>
      </c>
      <c r="U439" s="1" cm="1">
        <f t="array" ref="U439">MIN(ABS(M439:O439))</f>
        <v>0.29719422500681014</v>
      </c>
    </row>
    <row r="440" spans="1:21" x14ac:dyDescent="0.35">
      <c r="A440" t="s">
        <v>441</v>
      </c>
      <c r="B440" s="2">
        <v>292.32</v>
      </c>
      <c r="C440" s="2">
        <v>59.62</v>
      </c>
      <c r="D440" s="2">
        <v>71.81</v>
      </c>
      <c r="E440" s="2">
        <v>122.39</v>
      </c>
      <c r="F440" s="2">
        <v>11.28</v>
      </c>
      <c r="G440">
        <v>0</v>
      </c>
      <c r="H440">
        <v>2</v>
      </c>
      <c r="I440">
        <v>5</v>
      </c>
      <c r="J440">
        <v>0</v>
      </c>
      <c r="K440">
        <v>0</v>
      </c>
      <c r="L440">
        <v>2</v>
      </c>
      <c r="M440" s="1">
        <f t="shared" si="48"/>
        <v>-0.79604542966611935</v>
      </c>
      <c r="N440" s="1">
        <f t="shared" si="49"/>
        <v>-0.7543445539135194</v>
      </c>
      <c r="O440" s="1">
        <f t="shared" si="50"/>
        <v>-0.58131499726327318</v>
      </c>
      <c r="P440">
        <f t="shared" si="51"/>
        <v>403</v>
      </c>
      <c r="Q440">
        <f t="shared" si="52"/>
        <v>428</v>
      </c>
      <c r="R440">
        <f t="shared" si="53"/>
        <v>447</v>
      </c>
      <c r="S440">
        <f t="shared" si="54"/>
        <v>1278</v>
      </c>
      <c r="T440">
        <f t="shared" si="55"/>
        <v>439</v>
      </c>
      <c r="U440" s="1" cm="1">
        <f t="array" ref="U440">MIN(ABS(M440:O440))</f>
        <v>0.58131499726327318</v>
      </c>
    </row>
    <row r="441" spans="1:21" x14ac:dyDescent="0.35">
      <c r="A441" t="s">
        <v>443</v>
      </c>
      <c r="B441" s="2">
        <v>5.3</v>
      </c>
      <c r="C441" s="2">
        <v>1.29</v>
      </c>
      <c r="D441" s="2">
        <v>1.27</v>
      </c>
      <c r="E441" s="2">
        <v>1.81</v>
      </c>
      <c r="F441" s="2">
        <v>13.09</v>
      </c>
      <c r="G441">
        <v>2</v>
      </c>
      <c r="H441">
        <v>8</v>
      </c>
      <c r="I441">
        <v>15</v>
      </c>
      <c r="J441">
        <v>0</v>
      </c>
      <c r="K441">
        <v>2</v>
      </c>
      <c r="L441">
        <v>4</v>
      </c>
      <c r="M441" s="1">
        <f t="shared" si="48"/>
        <v>-0.7566037735849056</v>
      </c>
      <c r="N441" s="1">
        <f t="shared" si="49"/>
        <v>-0.76037735849056598</v>
      </c>
      <c r="O441" s="1">
        <f t="shared" si="50"/>
        <v>-0.65849056603773581</v>
      </c>
      <c r="P441">
        <f t="shared" si="51"/>
        <v>380</v>
      </c>
      <c r="Q441">
        <f t="shared" si="52"/>
        <v>430</v>
      </c>
      <c r="R441">
        <f t="shared" si="53"/>
        <v>469</v>
      </c>
      <c r="S441">
        <f t="shared" si="54"/>
        <v>1279</v>
      </c>
      <c r="T441">
        <f t="shared" si="55"/>
        <v>440</v>
      </c>
      <c r="U441" s="1" cm="1">
        <f t="array" ref="U441">MIN(ABS(M441:O441))</f>
        <v>0.65849056603773581</v>
      </c>
    </row>
    <row r="442" spans="1:21" x14ac:dyDescent="0.35">
      <c r="A442" t="s">
        <v>480</v>
      </c>
      <c r="B442" s="2">
        <v>64.55</v>
      </c>
      <c r="C442" s="2">
        <v>4.5</v>
      </c>
      <c r="D442" s="2">
        <v>9.68</v>
      </c>
      <c r="E442" s="2">
        <v>51.37</v>
      </c>
      <c r="F442" s="2">
        <v>11.33</v>
      </c>
      <c r="G442">
        <v>2</v>
      </c>
      <c r="H442">
        <v>10</v>
      </c>
      <c r="I442">
        <v>18</v>
      </c>
      <c r="J442">
        <v>0</v>
      </c>
      <c r="K442">
        <v>1</v>
      </c>
      <c r="L442">
        <v>2</v>
      </c>
      <c r="M442" s="1">
        <f t="shared" si="48"/>
        <v>-0.93028659953524395</v>
      </c>
      <c r="N442" s="1">
        <f t="shared" si="49"/>
        <v>-0.85003872966692484</v>
      </c>
      <c r="O442" s="1">
        <f t="shared" si="50"/>
        <v>-0.20418280402788536</v>
      </c>
      <c r="P442">
        <f t="shared" si="51"/>
        <v>489</v>
      </c>
      <c r="Q442">
        <f t="shared" si="52"/>
        <v>469</v>
      </c>
      <c r="R442">
        <f t="shared" si="53"/>
        <v>321</v>
      </c>
      <c r="S442">
        <f t="shared" si="54"/>
        <v>1279</v>
      </c>
      <c r="T442">
        <f t="shared" si="55"/>
        <v>440</v>
      </c>
      <c r="U442" s="1" cm="1">
        <f t="array" ref="U442">MIN(ABS(M442:O442))</f>
        <v>0.20418280402788536</v>
      </c>
    </row>
    <row r="443" spans="1:21" x14ac:dyDescent="0.35">
      <c r="A443" t="s">
        <v>448</v>
      </c>
      <c r="B443" s="2">
        <v>338.53</v>
      </c>
      <c r="C443" s="2">
        <v>52.09</v>
      </c>
      <c r="D443" s="2">
        <v>77.540000000000006</v>
      </c>
      <c r="E443" s="2">
        <v>188.22</v>
      </c>
      <c r="F443" s="2">
        <v>10.45</v>
      </c>
      <c r="G443">
        <v>1</v>
      </c>
      <c r="H443">
        <v>6</v>
      </c>
      <c r="I443">
        <v>11</v>
      </c>
      <c r="J443">
        <v>0</v>
      </c>
      <c r="K443">
        <v>1</v>
      </c>
      <c r="L443">
        <v>2</v>
      </c>
      <c r="M443" s="1">
        <f t="shared" si="48"/>
        <v>-0.84612885120964165</v>
      </c>
      <c r="N443" s="1">
        <f t="shared" si="49"/>
        <v>-0.77095087584556754</v>
      </c>
      <c r="O443" s="1">
        <f t="shared" si="50"/>
        <v>-0.44400791658050986</v>
      </c>
      <c r="P443">
        <f t="shared" si="51"/>
        <v>445</v>
      </c>
      <c r="Q443">
        <f t="shared" si="52"/>
        <v>436</v>
      </c>
      <c r="R443">
        <f t="shared" si="53"/>
        <v>401</v>
      </c>
      <c r="S443">
        <f t="shared" si="54"/>
        <v>1282</v>
      </c>
      <c r="T443">
        <f t="shared" si="55"/>
        <v>442</v>
      </c>
      <c r="U443" s="1" cm="1">
        <f t="array" ref="U443">MIN(ABS(M443:O443))</f>
        <v>0.44400791658050986</v>
      </c>
    </row>
    <row r="444" spans="1:21" x14ac:dyDescent="0.35">
      <c r="A444" t="s">
        <v>474</v>
      </c>
      <c r="B444" s="2">
        <v>143.44</v>
      </c>
      <c r="C444" s="2">
        <v>13.07</v>
      </c>
      <c r="D444" s="2">
        <v>23.4</v>
      </c>
      <c r="E444" s="2">
        <v>101.2</v>
      </c>
      <c r="F444" s="2">
        <v>10.85</v>
      </c>
      <c r="G444">
        <v>2</v>
      </c>
      <c r="H444">
        <v>10</v>
      </c>
      <c r="I444">
        <v>18</v>
      </c>
      <c r="J444">
        <v>0</v>
      </c>
      <c r="K444">
        <v>1</v>
      </c>
      <c r="L444">
        <v>2</v>
      </c>
      <c r="M444" s="1">
        <f t="shared" si="48"/>
        <v>-0.9088817624093698</v>
      </c>
      <c r="N444" s="1">
        <f t="shared" si="49"/>
        <v>-0.83686558839933078</v>
      </c>
      <c r="O444" s="1">
        <f t="shared" si="50"/>
        <v>-0.29447852760736193</v>
      </c>
      <c r="P444">
        <f t="shared" si="51"/>
        <v>477</v>
      </c>
      <c r="Q444">
        <f t="shared" si="52"/>
        <v>462</v>
      </c>
      <c r="R444">
        <f t="shared" si="53"/>
        <v>349</v>
      </c>
      <c r="S444">
        <f t="shared" si="54"/>
        <v>1288</v>
      </c>
      <c r="T444">
        <f t="shared" si="55"/>
        <v>443</v>
      </c>
      <c r="U444" s="1" cm="1">
        <f t="array" ref="U444">MIN(ABS(M444:O444))</f>
        <v>0.29447852760736193</v>
      </c>
    </row>
    <row r="445" spans="1:21" x14ac:dyDescent="0.35">
      <c r="A445" t="s">
        <v>472</v>
      </c>
      <c r="B445" s="2">
        <v>139.13</v>
      </c>
      <c r="C445" s="2">
        <v>14.15</v>
      </c>
      <c r="D445" s="2">
        <v>22.96</v>
      </c>
      <c r="E445" s="2">
        <v>95.83</v>
      </c>
      <c r="F445" s="2">
        <v>8.81</v>
      </c>
      <c r="G445">
        <v>2</v>
      </c>
      <c r="H445">
        <v>10</v>
      </c>
      <c r="I445">
        <v>18</v>
      </c>
      <c r="J445">
        <v>1</v>
      </c>
      <c r="K445">
        <v>5</v>
      </c>
      <c r="L445">
        <v>9</v>
      </c>
      <c r="M445" s="1">
        <f t="shared" si="48"/>
        <v>-0.89829655717674117</v>
      </c>
      <c r="N445" s="1">
        <f t="shared" si="49"/>
        <v>-0.83497448429526344</v>
      </c>
      <c r="O445" s="1">
        <f t="shared" si="50"/>
        <v>-0.31121972256163299</v>
      </c>
      <c r="P445">
        <f t="shared" si="51"/>
        <v>473</v>
      </c>
      <c r="Q445">
        <f t="shared" si="52"/>
        <v>460</v>
      </c>
      <c r="R445">
        <f t="shared" si="53"/>
        <v>359</v>
      </c>
      <c r="S445">
        <f t="shared" si="54"/>
        <v>1292</v>
      </c>
      <c r="T445">
        <f t="shared" si="55"/>
        <v>444</v>
      </c>
      <c r="U445" s="1" cm="1">
        <f t="array" ref="U445">MIN(ABS(M445:O445))</f>
        <v>0.31121972256163299</v>
      </c>
    </row>
    <row r="446" spans="1:21" x14ac:dyDescent="0.35">
      <c r="A446" t="s">
        <v>444</v>
      </c>
      <c r="B446" s="2">
        <v>241.51</v>
      </c>
      <c r="C446" s="2">
        <v>43.53</v>
      </c>
      <c r="D446" s="2">
        <v>56.98</v>
      </c>
      <c r="E446" s="2">
        <v>103.33</v>
      </c>
      <c r="F446" s="2">
        <v>11.27</v>
      </c>
      <c r="G446">
        <v>1</v>
      </c>
      <c r="H446">
        <v>4</v>
      </c>
      <c r="I446">
        <v>7</v>
      </c>
      <c r="J446">
        <v>0</v>
      </c>
      <c r="K446">
        <v>0</v>
      </c>
      <c r="L446">
        <v>2</v>
      </c>
      <c r="M446" s="1">
        <f t="shared" si="48"/>
        <v>-0.81975901618980584</v>
      </c>
      <c r="N446" s="1">
        <f t="shared" si="49"/>
        <v>-0.76406774046623327</v>
      </c>
      <c r="O446" s="1">
        <f t="shared" si="50"/>
        <v>-0.57215022152291828</v>
      </c>
      <c r="P446">
        <f t="shared" si="51"/>
        <v>427</v>
      </c>
      <c r="Q446">
        <f t="shared" si="52"/>
        <v>431</v>
      </c>
      <c r="R446">
        <f t="shared" si="53"/>
        <v>442</v>
      </c>
      <c r="S446">
        <f t="shared" si="54"/>
        <v>1300</v>
      </c>
      <c r="T446">
        <f t="shared" si="55"/>
        <v>445</v>
      </c>
      <c r="U446" s="1" cm="1">
        <f t="array" ref="U446">MIN(ABS(M446:O446))</f>
        <v>0.57215022152291828</v>
      </c>
    </row>
    <row r="447" spans="1:21" x14ac:dyDescent="0.35">
      <c r="A447" t="s">
        <v>451</v>
      </c>
      <c r="B447" s="2">
        <v>87.43</v>
      </c>
      <c r="C447" s="2">
        <v>19.62</v>
      </c>
      <c r="D447" s="2">
        <v>19.510000000000002</v>
      </c>
      <c r="E447" s="2">
        <v>28.23</v>
      </c>
      <c r="F447" s="2">
        <v>13.05</v>
      </c>
      <c r="G447">
        <v>-3</v>
      </c>
      <c r="H447">
        <v>1</v>
      </c>
      <c r="I447">
        <v>5</v>
      </c>
      <c r="J447">
        <v>0</v>
      </c>
      <c r="K447">
        <v>0</v>
      </c>
      <c r="L447">
        <v>2</v>
      </c>
      <c r="M447" s="1">
        <f t="shared" si="48"/>
        <v>-0.77559190209310302</v>
      </c>
      <c r="N447" s="1">
        <f t="shared" si="49"/>
        <v>-0.77685005146974717</v>
      </c>
      <c r="O447" s="1">
        <f t="shared" si="50"/>
        <v>-0.67711311906668192</v>
      </c>
      <c r="P447">
        <f t="shared" si="51"/>
        <v>391</v>
      </c>
      <c r="Q447">
        <f t="shared" si="52"/>
        <v>439</v>
      </c>
      <c r="R447">
        <f t="shared" si="53"/>
        <v>474</v>
      </c>
      <c r="S447">
        <f t="shared" si="54"/>
        <v>1304</v>
      </c>
      <c r="T447">
        <f t="shared" si="55"/>
        <v>446</v>
      </c>
      <c r="U447" s="1" cm="1">
        <f t="array" ref="U447">MIN(ABS(M447:O447))</f>
        <v>0.67711311906668192</v>
      </c>
    </row>
    <row r="448" spans="1:21" x14ac:dyDescent="0.35">
      <c r="A448" t="s">
        <v>446</v>
      </c>
      <c r="B448" s="2">
        <v>170.49</v>
      </c>
      <c r="C448" s="2">
        <v>32.08</v>
      </c>
      <c r="D448" s="2">
        <v>39.65</v>
      </c>
      <c r="E448" s="2">
        <v>64.14</v>
      </c>
      <c r="F448" s="2">
        <v>11.61</v>
      </c>
      <c r="G448">
        <v>1</v>
      </c>
      <c r="H448">
        <v>3</v>
      </c>
      <c r="I448">
        <v>5</v>
      </c>
      <c r="J448">
        <v>0</v>
      </c>
      <c r="K448">
        <v>0</v>
      </c>
      <c r="L448">
        <v>2</v>
      </c>
      <c r="M448" s="1">
        <f t="shared" si="48"/>
        <v>-0.81183647134729309</v>
      </c>
      <c r="N448" s="1">
        <f t="shared" si="49"/>
        <v>-0.76743504017830966</v>
      </c>
      <c r="O448" s="1">
        <f t="shared" si="50"/>
        <v>-0.62379025162766144</v>
      </c>
      <c r="P448">
        <f t="shared" si="51"/>
        <v>417</v>
      </c>
      <c r="Q448">
        <f t="shared" si="52"/>
        <v>433</v>
      </c>
      <c r="R448">
        <f t="shared" si="53"/>
        <v>459</v>
      </c>
      <c r="S448">
        <f t="shared" si="54"/>
        <v>1309</v>
      </c>
      <c r="T448">
        <f t="shared" si="55"/>
        <v>447</v>
      </c>
      <c r="U448" s="1" cm="1">
        <f t="array" ref="U448">MIN(ABS(M448:O448))</f>
        <v>0.62379025162766144</v>
      </c>
    </row>
    <row r="449" spans="1:21" x14ac:dyDescent="0.35">
      <c r="A449" t="s">
        <v>446</v>
      </c>
      <c r="B449" s="2">
        <v>170.49</v>
      </c>
      <c r="C449" s="2">
        <v>32.08</v>
      </c>
      <c r="D449" s="2">
        <v>39.65</v>
      </c>
      <c r="E449" s="2">
        <v>64.14</v>
      </c>
      <c r="F449" s="2">
        <v>11.61</v>
      </c>
      <c r="G449">
        <v>1</v>
      </c>
      <c r="H449">
        <v>3</v>
      </c>
      <c r="I449">
        <v>5</v>
      </c>
      <c r="J449">
        <v>0</v>
      </c>
      <c r="K449">
        <v>0</v>
      </c>
      <c r="L449">
        <v>2</v>
      </c>
      <c r="M449" s="1">
        <f t="shared" si="48"/>
        <v>-0.81183647134729309</v>
      </c>
      <c r="N449" s="1">
        <f t="shared" si="49"/>
        <v>-0.76743504017830966</v>
      </c>
      <c r="O449" s="1">
        <f t="shared" si="50"/>
        <v>-0.62379025162766144</v>
      </c>
      <c r="P449">
        <f t="shared" si="51"/>
        <v>417</v>
      </c>
      <c r="Q449">
        <f t="shared" si="52"/>
        <v>433</v>
      </c>
      <c r="R449">
        <f t="shared" si="53"/>
        <v>459</v>
      </c>
      <c r="S449">
        <f t="shared" si="54"/>
        <v>1309</v>
      </c>
      <c r="T449">
        <f t="shared" si="55"/>
        <v>447</v>
      </c>
      <c r="U449" s="1" cm="1">
        <f t="array" ref="U449">MIN(ABS(M449:O449))</f>
        <v>0.62379025162766144</v>
      </c>
    </row>
    <row r="450" spans="1:21" x14ac:dyDescent="0.35">
      <c r="A450" t="s">
        <v>452</v>
      </c>
      <c r="B450" s="2">
        <v>193.76</v>
      </c>
      <c r="C450" s="2">
        <v>39.15</v>
      </c>
      <c r="D450" s="2">
        <v>43.08</v>
      </c>
      <c r="E450" s="2">
        <v>69.41</v>
      </c>
      <c r="F450" s="2">
        <v>11.81</v>
      </c>
      <c r="G450">
        <v>0</v>
      </c>
      <c r="H450">
        <v>1</v>
      </c>
      <c r="I450">
        <v>5</v>
      </c>
      <c r="J450">
        <v>0</v>
      </c>
      <c r="K450">
        <v>0</v>
      </c>
      <c r="L450">
        <v>2</v>
      </c>
      <c r="M450" s="1">
        <f t="shared" ref="M450:M513" si="56">C450/$B450-1</f>
        <v>-0.79794591246903379</v>
      </c>
      <c r="N450" s="1">
        <f t="shared" ref="N450:N513" si="57">D450/$B450-1</f>
        <v>-0.77766308835672993</v>
      </c>
      <c r="O450" s="1">
        <f t="shared" ref="O450:O513" si="58">E450/$B450-1</f>
        <v>-0.64177332782824115</v>
      </c>
      <c r="P450">
        <f t="shared" ref="P450:P513" si="59">_xlfn.RANK.EQ(M450,M$2:M$564)</f>
        <v>405</v>
      </c>
      <c r="Q450">
        <f t="shared" ref="Q450:Q513" si="60">_xlfn.RANK.EQ(N450,N$2:N$564)</f>
        <v>440</v>
      </c>
      <c r="R450">
        <f t="shared" ref="R450:R513" si="61">_xlfn.RANK.EQ(O450,O$2:O$564)</f>
        <v>464</v>
      </c>
      <c r="S450">
        <f t="shared" ref="S450:S513" si="62">SUM(P450:R450)</f>
        <v>1309</v>
      </c>
      <c r="T450">
        <f t="shared" ref="T450:T513" si="63">_xlfn.RANK.EQ(S450,S$2:S$564, 1)</f>
        <v>447</v>
      </c>
      <c r="U450" s="1" cm="1">
        <f t="array" ref="U450">MIN(ABS(M450:O450))</f>
        <v>0.64177332782824115</v>
      </c>
    </row>
    <row r="451" spans="1:21" x14ac:dyDescent="0.35">
      <c r="A451" t="s">
        <v>447</v>
      </c>
      <c r="B451" s="2">
        <v>60.05</v>
      </c>
      <c r="C451" s="2">
        <v>10.7</v>
      </c>
      <c r="D451" s="2">
        <v>13.76</v>
      </c>
      <c r="E451" s="2">
        <v>25.25</v>
      </c>
      <c r="F451" s="2">
        <v>13.06</v>
      </c>
      <c r="G451">
        <v>1</v>
      </c>
      <c r="H451">
        <v>2</v>
      </c>
      <c r="I451">
        <v>5</v>
      </c>
      <c r="J451">
        <v>0</v>
      </c>
      <c r="K451">
        <v>0</v>
      </c>
      <c r="L451">
        <v>2</v>
      </c>
      <c r="M451" s="1">
        <f t="shared" si="56"/>
        <v>-0.82181515403830141</v>
      </c>
      <c r="N451" s="1">
        <f t="shared" si="57"/>
        <v>-0.77085761865112401</v>
      </c>
      <c r="O451" s="1">
        <f t="shared" si="58"/>
        <v>-0.57951706910907574</v>
      </c>
      <c r="P451">
        <f t="shared" si="59"/>
        <v>429</v>
      </c>
      <c r="Q451">
        <f t="shared" si="60"/>
        <v>435</v>
      </c>
      <c r="R451">
        <f t="shared" si="61"/>
        <v>446</v>
      </c>
      <c r="S451">
        <f t="shared" si="62"/>
        <v>1310</v>
      </c>
      <c r="T451">
        <f t="shared" si="63"/>
        <v>450</v>
      </c>
      <c r="U451" s="1" cm="1">
        <f t="array" ref="U451">MIN(ABS(M451:O451))</f>
        <v>0.57951706910907574</v>
      </c>
    </row>
    <row r="452" spans="1:21" x14ac:dyDescent="0.35">
      <c r="A452" t="s">
        <v>455</v>
      </c>
      <c r="B452" s="2">
        <v>183.58</v>
      </c>
      <c r="C452" s="2">
        <v>41.11</v>
      </c>
      <c r="D452" s="2">
        <v>40.14</v>
      </c>
      <c r="E452" s="2">
        <v>56.42</v>
      </c>
      <c r="F452" s="2">
        <v>11.1</v>
      </c>
      <c r="G452">
        <v>-3</v>
      </c>
      <c r="H452">
        <v>1</v>
      </c>
      <c r="I452">
        <v>5</v>
      </c>
      <c r="J452">
        <v>0</v>
      </c>
      <c r="K452">
        <v>1</v>
      </c>
      <c r="L452">
        <v>2</v>
      </c>
      <c r="M452" s="1">
        <f t="shared" si="56"/>
        <v>-0.77606493082035088</v>
      </c>
      <c r="N452" s="1">
        <f t="shared" si="57"/>
        <v>-0.78134873079856193</v>
      </c>
      <c r="O452" s="1">
        <f t="shared" si="58"/>
        <v>-0.69266804662817294</v>
      </c>
      <c r="P452">
        <f t="shared" si="59"/>
        <v>392</v>
      </c>
      <c r="Q452">
        <f t="shared" si="60"/>
        <v>443</v>
      </c>
      <c r="R452">
        <f t="shared" si="61"/>
        <v>476</v>
      </c>
      <c r="S452">
        <f t="shared" si="62"/>
        <v>1311</v>
      </c>
      <c r="T452">
        <f t="shared" si="63"/>
        <v>451</v>
      </c>
      <c r="U452" s="1" cm="1">
        <f t="array" ref="U452">MIN(ABS(M452:O452))</f>
        <v>0.69266804662817294</v>
      </c>
    </row>
    <row r="453" spans="1:21" x14ac:dyDescent="0.35">
      <c r="A453" t="s">
        <v>453</v>
      </c>
      <c r="B453" s="2">
        <v>58.81</v>
      </c>
      <c r="C453" s="2">
        <v>9.39</v>
      </c>
      <c r="D453" s="2">
        <v>13.04</v>
      </c>
      <c r="E453" s="2">
        <v>25.8</v>
      </c>
      <c r="F453" s="2">
        <v>12.4</v>
      </c>
      <c r="G453">
        <v>1</v>
      </c>
      <c r="H453">
        <v>4</v>
      </c>
      <c r="I453">
        <v>6</v>
      </c>
      <c r="J453">
        <v>0</v>
      </c>
      <c r="K453">
        <v>0</v>
      </c>
      <c r="L453">
        <v>2</v>
      </c>
      <c r="M453" s="1">
        <f t="shared" si="56"/>
        <v>-0.84033327665363033</v>
      </c>
      <c r="N453" s="1">
        <f t="shared" si="57"/>
        <v>-0.77826900187043024</v>
      </c>
      <c r="O453" s="1">
        <f t="shared" si="58"/>
        <v>-0.56129909879272233</v>
      </c>
      <c r="P453">
        <f t="shared" si="59"/>
        <v>441</v>
      </c>
      <c r="Q453">
        <f t="shared" si="60"/>
        <v>441</v>
      </c>
      <c r="R453">
        <f t="shared" si="61"/>
        <v>435</v>
      </c>
      <c r="S453">
        <f t="shared" si="62"/>
        <v>1317</v>
      </c>
      <c r="T453">
        <f t="shared" si="63"/>
        <v>452</v>
      </c>
      <c r="U453" s="1" cm="1">
        <f t="array" ref="U453">MIN(ABS(M453:O453))</f>
        <v>0.56129909879272233</v>
      </c>
    </row>
    <row r="454" spans="1:21" x14ac:dyDescent="0.35">
      <c r="A454" t="s">
        <v>460</v>
      </c>
      <c r="B454" s="2">
        <v>22.56</v>
      </c>
      <c r="C454" s="2">
        <v>3.2</v>
      </c>
      <c r="D454" s="2">
        <v>4.46</v>
      </c>
      <c r="E454" s="2">
        <v>11.04</v>
      </c>
      <c r="F454" s="2">
        <v>13.99</v>
      </c>
      <c r="G454">
        <v>1</v>
      </c>
      <c r="H454">
        <v>4</v>
      </c>
      <c r="I454">
        <v>8</v>
      </c>
      <c r="J454">
        <v>0</v>
      </c>
      <c r="K454">
        <v>0</v>
      </c>
      <c r="L454">
        <v>2</v>
      </c>
      <c r="M454" s="1">
        <f t="shared" si="56"/>
        <v>-0.85815602836879434</v>
      </c>
      <c r="N454" s="1">
        <f t="shared" si="57"/>
        <v>-0.80230496453900702</v>
      </c>
      <c r="O454" s="1">
        <f t="shared" si="58"/>
        <v>-0.5106382978723405</v>
      </c>
      <c r="P454">
        <f t="shared" si="59"/>
        <v>452</v>
      </c>
      <c r="Q454">
        <f t="shared" si="60"/>
        <v>448</v>
      </c>
      <c r="R454">
        <f t="shared" si="61"/>
        <v>417</v>
      </c>
      <c r="S454">
        <f t="shared" si="62"/>
        <v>1317</v>
      </c>
      <c r="T454">
        <f t="shared" si="63"/>
        <v>452</v>
      </c>
      <c r="U454" s="1" cm="1">
        <f t="array" ref="U454">MIN(ABS(M454:O454))</f>
        <v>0.5106382978723405</v>
      </c>
    </row>
    <row r="455" spans="1:21" x14ac:dyDescent="0.35">
      <c r="A455" t="s">
        <v>450</v>
      </c>
      <c r="B455" s="2">
        <v>210.02</v>
      </c>
      <c r="C455" s="2">
        <v>41.12</v>
      </c>
      <c r="D455" s="2">
        <v>46.99</v>
      </c>
      <c r="E455" s="2">
        <v>73.02</v>
      </c>
      <c r="F455" s="2">
        <v>11.56</v>
      </c>
      <c r="G455">
        <v>0</v>
      </c>
      <c r="H455">
        <v>2</v>
      </c>
      <c r="I455">
        <v>5</v>
      </c>
      <c r="J455">
        <v>0</v>
      </c>
      <c r="K455">
        <v>1</v>
      </c>
      <c r="L455">
        <v>2</v>
      </c>
      <c r="M455" s="1">
        <f t="shared" si="56"/>
        <v>-0.80420912294067237</v>
      </c>
      <c r="N455" s="1">
        <f t="shared" si="57"/>
        <v>-0.77625940386629844</v>
      </c>
      <c r="O455" s="1">
        <f t="shared" si="58"/>
        <v>-0.65231882677840214</v>
      </c>
      <c r="P455">
        <f t="shared" si="59"/>
        <v>413</v>
      </c>
      <c r="Q455">
        <f t="shared" si="60"/>
        <v>438</v>
      </c>
      <c r="R455">
        <f t="shared" si="61"/>
        <v>467</v>
      </c>
      <c r="S455">
        <f t="shared" si="62"/>
        <v>1318</v>
      </c>
      <c r="T455">
        <f t="shared" si="63"/>
        <v>454</v>
      </c>
      <c r="U455" s="1" cm="1">
        <f t="array" ref="U455">MIN(ABS(M455:O455))</f>
        <v>0.65231882677840214</v>
      </c>
    </row>
    <row r="456" spans="1:21" x14ac:dyDescent="0.35">
      <c r="A456" t="s">
        <v>463</v>
      </c>
      <c r="B456" s="2">
        <v>199.85</v>
      </c>
      <c r="C456" s="2">
        <v>23</v>
      </c>
      <c r="D456" s="2">
        <v>38.130000000000003</v>
      </c>
      <c r="E456" s="2">
        <v>105.87</v>
      </c>
      <c r="F456" s="2">
        <v>9.48</v>
      </c>
      <c r="G456">
        <v>1</v>
      </c>
      <c r="H456">
        <v>7</v>
      </c>
      <c r="I456">
        <v>12</v>
      </c>
      <c r="J456">
        <v>0</v>
      </c>
      <c r="K456">
        <v>2</v>
      </c>
      <c r="L456">
        <v>3</v>
      </c>
      <c r="M456" s="1">
        <f t="shared" si="56"/>
        <v>-0.88491368526394798</v>
      </c>
      <c r="N456" s="1">
        <f t="shared" si="57"/>
        <v>-0.80920690517888416</v>
      </c>
      <c r="O456" s="1">
        <f t="shared" si="58"/>
        <v>-0.47025268951713783</v>
      </c>
      <c r="P456">
        <f t="shared" si="59"/>
        <v>464</v>
      </c>
      <c r="Q456">
        <f t="shared" si="60"/>
        <v>451</v>
      </c>
      <c r="R456">
        <f t="shared" si="61"/>
        <v>408</v>
      </c>
      <c r="S456">
        <f t="shared" si="62"/>
        <v>1323</v>
      </c>
      <c r="T456">
        <f t="shared" si="63"/>
        <v>455</v>
      </c>
      <c r="U456" s="1" cm="1">
        <f t="array" ref="U456">MIN(ABS(M456:O456))</f>
        <v>0.47025268951713783</v>
      </c>
    </row>
    <row r="457" spans="1:21" x14ac:dyDescent="0.35">
      <c r="A457" t="s">
        <v>485</v>
      </c>
      <c r="B457" s="2">
        <v>336.67</v>
      </c>
      <c r="C457" s="2">
        <v>22.8</v>
      </c>
      <c r="D457" s="2">
        <v>46.89</v>
      </c>
      <c r="E457" s="2">
        <v>222.59</v>
      </c>
      <c r="F457" s="2">
        <v>10.74</v>
      </c>
      <c r="G457">
        <v>2</v>
      </c>
      <c r="H457">
        <v>10</v>
      </c>
      <c r="I457">
        <v>18</v>
      </c>
      <c r="J457">
        <v>0</v>
      </c>
      <c r="K457">
        <v>0</v>
      </c>
      <c r="L457">
        <v>2</v>
      </c>
      <c r="M457" s="1">
        <f t="shared" si="56"/>
        <v>-0.93227789823863128</v>
      </c>
      <c r="N457" s="1">
        <f t="shared" si="57"/>
        <v>-0.8607241512460273</v>
      </c>
      <c r="O457" s="1">
        <f t="shared" si="58"/>
        <v>-0.33884813021653248</v>
      </c>
      <c r="P457">
        <f t="shared" si="59"/>
        <v>491</v>
      </c>
      <c r="Q457">
        <f t="shared" si="60"/>
        <v>474</v>
      </c>
      <c r="R457">
        <f t="shared" si="61"/>
        <v>365</v>
      </c>
      <c r="S457">
        <f t="shared" si="62"/>
        <v>1330</v>
      </c>
      <c r="T457">
        <f t="shared" si="63"/>
        <v>456</v>
      </c>
      <c r="U457" s="1" cm="1">
        <f t="array" ref="U457">MIN(ABS(M457:O457))</f>
        <v>0.33884813021653248</v>
      </c>
    </row>
    <row r="458" spans="1:21" x14ac:dyDescent="0.35">
      <c r="A458" t="s">
        <v>458</v>
      </c>
      <c r="B458" s="2">
        <v>107.8</v>
      </c>
      <c r="C458" s="2">
        <v>19.79</v>
      </c>
      <c r="D458" s="2">
        <v>22.51</v>
      </c>
      <c r="E458" s="2">
        <v>38.090000000000003</v>
      </c>
      <c r="F458" s="2">
        <v>12.57</v>
      </c>
      <c r="G458">
        <v>0</v>
      </c>
      <c r="H458">
        <v>1</v>
      </c>
      <c r="I458">
        <v>5</v>
      </c>
      <c r="J458">
        <v>0</v>
      </c>
      <c r="K458">
        <v>0</v>
      </c>
      <c r="L458">
        <v>2</v>
      </c>
      <c r="M458" s="1">
        <f t="shared" si="56"/>
        <v>-0.81641929499072363</v>
      </c>
      <c r="N458" s="1">
        <f t="shared" si="57"/>
        <v>-0.79118738404452693</v>
      </c>
      <c r="O458" s="1">
        <f t="shared" si="58"/>
        <v>-0.64666048237476803</v>
      </c>
      <c r="P458">
        <f t="shared" si="59"/>
        <v>420</v>
      </c>
      <c r="Q458">
        <f t="shared" si="60"/>
        <v>446</v>
      </c>
      <c r="R458">
        <f t="shared" si="61"/>
        <v>465</v>
      </c>
      <c r="S458">
        <f t="shared" si="62"/>
        <v>1331</v>
      </c>
      <c r="T458">
        <f t="shared" si="63"/>
        <v>457</v>
      </c>
      <c r="U458" s="1" cm="1">
        <f t="array" ref="U458">MIN(ABS(M458:O458))</f>
        <v>0.64666048237476803</v>
      </c>
    </row>
    <row r="459" spans="1:21" x14ac:dyDescent="0.35">
      <c r="A459" t="s">
        <v>461</v>
      </c>
      <c r="B459" s="2">
        <v>82.69</v>
      </c>
      <c r="C459" s="2">
        <v>16.559999999999999</v>
      </c>
      <c r="D459" s="2">
        <v>15.97</v>
      </c>
      <c r="E459" s="2">
        <v>24.77</v>
      </c>
      <c r="F459" s="2">
        <v>12.78</v>
      </c>
      <c r="G459">
        <v>-3</v>
      </c>
      <c r="H459">
        <v>1</v>
      </c>
      <c r="I459">
        <v>5</v>
      </c>
      <c r="J459">
        <v>0</v>
      </c>
      <c r="K459">
        <v>0</v>
      </c>
      <c r="L459">
        <v>2</v>
      </c>
      <c r="M459" s="1">
        <f t="shared" si="56"/>
        <v>-0.79973394606361103</v>
      </c>
      <c r="N459" s="1">
        <f t="shared" si="57"/>
        <v>-0.80686902890313217</v>
      </c>
      <c r="O459" s="1">
        <f t="shared" si="58"/>
        <v>-0.70044745434756317</v>
      </c>
      <c r="P459">
        <f t="shared" si="59"/>
        <v>407</v>
      </c>
      <c r="Q459">
        <f t="shared" si="60"/>
        <v>449</v>
      </c>
      <c r="R459">
        <f t="shared" si="61"/>
        <v>479</v>
      </c>
      <c r="S459">
        <f t="shared" si="62"/>
        <v>1335</v>
      </c>
      <c r="T459">
        <f t="shared" si="63"/>
        <v>458</v>
      </c>
      <c r="U459" s="1" cm="1">
        <f t="array" ref="U459">MIN(ABS(M459:O459))</f>
        <v>0.70044745434756317</v>
      </c>
    </row>
    <row r="460" spans="1:21" x14ac:dyDescent="0.35">
      <c r="A460" t="s">
        <v>488</v>
      </c>
      <c r="B460" s="2">
        <v>141.36000000000001</v>
      </c>
      <c r="C460" s="2">
        <v>12.3</v>
      </c>
      <c r="D460" s="2">
        <v>19.02</v>
      </c>
      <c r="E460" s="2">
        <v>88.76</v>
      </c>
      <c r="F460" s="2">
        <v>11.67</v>
      </c>
      <c r="G460">
        <v>2</v>
      </c>
      <c r="H460">
        <v>10</v>
      </c>
      <c r="I460">
        <v>18</v>
      </c>
      <c r="J460">
        <v>0</v>
      </c>
      <c r="K460">
        <v>0</v>
      </c>
      <c r="L460">
        <v>2</v>
      </c>
      <c r="M460" s="1">
        <f t="shared" si="56"/>
        <v>-0.91298811544991509</v>
      </c>
      <c r="N460" s="1">
        <f t="shared" si="57"/>
        <v>-0.86544991511035652</v>
      </c>
      <c r="O460" s="1">
        <f t="shared" si="58"/>
        <v>-0.37209960384833052</v>
      </c>
      <c r="P460">
        <f t="shared" si="59"/>
        <v>481</v>
      </c>
      <c r="Q460">
        <f t="shared" si="60"/>
        <v>477</v>
      </c>
      <c r="R460">
        <f t="shared" si="61"/>
        <v>379</v>
      </c>
      <c r="S460">
        <f t="shared" si="62"/>
        <v>1337</v>
      </c>
      <c r="T460">
        <f t="shared" si="63"/>
        <v>459</v>
      </c>
      <c r="U460" s="1" cm="1">
        <f t="array" ref="U460">MIN(ABS(M460:O460))</f>
        <v>0.37209960384833052</v>
      </c>
    </row>
    <row r="461" spans="1:21" x14ac:dyDescent="0.35">
      <c r="A461" t="s">
        <v>482</v>
      </c>
      <c r="B461" s="2">
        <v>78.11</v>
      </c>
      <c r="C461" s="2">
        <v>5.87</v>
      </c>
      <c r="D461" s="2">
        <v>11.05</v>
      </c>
      <c r="E461" s="2">
        <v>47.7</v>
      </c>
      <c r="F461" s="2">
        <v>12.27</v>
      </c>
      <c r="G461">
        <v>2</v>
      </c>
      <c r="H461">
        <v>10</v>
      </c>
      <c r="I461">
        <v>17</v>
      </c>
      <c r="J461">
        <v>0</v>
      </c>
      <c r="K461">
        <v>0</v>
      </c>
      <c r="L461">
        <v>2</v>
      </c>
      <c r="M461" s="1">
        <f t="shared" si="56"/>
        <v>-0.92484957111765453</v>
      </c>
      <c r="N461" s="1">
        <f t="shared" si="57"/>
        <v>-0.85853283830495453</v>
      </c>
      <c r="O461" s="1">
        <f t="shared" si="58"/>
        <v>-0.38932274996799376</v>
      </c>
      <c r="P461">
        <f t="shared" si="59"/>
        <v>486</v>
      </c>
      <c r="Q461">
        <f t="shared" si="60"/>
        <v>471</v>
      </c>
      <c r="R461">
        <f t="shared" si="61"/>
        <v>383</v>
      </c>
      <c r="S461">
        <f t="shared" si="62"/>
        <v>1340</v>
      </c>
      <c r="T461">
        <f t="shared" si="63"/>
        <v>460</v>
      </c>
      <c r="U461" s="1" cm="1">
        <f t="array" ref="U461">MIN(ABS(M461:O461))</f>
        <v>0.38932274996799376</v>
      </c>
    </row>
    <row r="462" spans="1:21" x14ac:dyDescent="0.35">
      <c r="A462" t="s">
        <v>459</v>
      </c>
      <c r="B462" s="2">
        <v>85.06</v>
      </c>
      <c r="C462" s="2">
        <v>15.49</v>
      </c>
      <c r="D462" s="2">
        <v>16.920000000000002</v>
      </c>
      <c r="E462" s="2">
        <v>27.21</v>
      </c>
      <c r="F462" s="2">
        <v>12.66</v>
      </c>
      <c r="G462">
        <v>0</v>
      </c>
      <c r="H462">
        <v>1</v>
      </c>
      <c r="I462">
        <v>5</v>
      </c>
      <c r="J462">
        <v>0</v>
      </c>
      <c r="K462">
        <v>0</v>
      </c>
      <c r="L462">
        <v>2</v>
      </c>
      <c r="M462" s="1">
        <f t="shared" si="56"/>
        <v>-0.81789325182224315</v>
      </c>
      <c r="N462" s="1">
        <f t="shared" si="57"/>
        <v>-0.80108158946625907</v>
      </c>
      <c r="O462" s="1">
        <f t="shared" si="58"/>
        <v>-0.68010815894662591</v>
      </c>
      <c r="P462">
        <f t="shared" si="59"/>
        <v>424</v>
      </c>
      <c r="Q462">
        <f t="shared" si="60"/>
        <v>447</v>
      </c>
      <c r="R462">
        <f t="shared" si="61"/>
        <v>475</v>
      </c>
      <c r="S462">
        <f t="shared" si="62"/>
        <v>1346</v>
      </c>
      <c r="T462">
        <f t="shared" si="63"/>
        <v>461</v>
      </c>
      <c r="U462" s="1" cm="1">
        <f t="array" ref="U462">MIN(ABS(M462:O462))</f>
        <v>0.68010815894662591</v>
      </c>
    </row>
    <row r="463" spans="1:21" x14ac:dyDescent="0.35">
      <c r="A463" t="s">
        <v>462</v>
      </c>
      <c r="B463" s="2">
        <v>74.08</v>
      </c>
      <c r="C463" s="2">
        <v>13.54</v>
      </c>
      <c r="D463" s="2">
        <v>14.26</v>
      </c>
      <c r="E463" s="2">
        <v>23.93</v>
      </c>
      <c r="F463" s="2">
        <v>13.65</v>
      </c>
      <c r="G463">
        <v>-3</v>
      </c>
      <c r="H463">
        <v>1</v>
      </c>
      <c r="I463">
        <v>5</v>
      </c>
      <c r="J463">
        <v>0</v>
      </c>
      <c r="K463">
        <v>0</v>
      </c>
      <c r="L463">
        <v>2</v>
      </c>
      <c r="M463" s="1">
        <f t="shared" si="56"/>
        <v>-0.8172246220302376</v>
      </c>
      <c r="N463" s="1">
        <f t="shared" si="57"/>
        <v>-0.80750539956803458</v>
      </c>
      <c r="O463" s="1">
        <f t="shared" si="58"/>
        <v>-0.6769708423326134</v>
      </c>
      <c r="P463">
        <f t="shared" si="59"/>
        <v>423</v>
      </c>
      <c r="Q463">
        <f t="shared" si="60"/>
        <v>450</v>
      </c>
      <c r="R463">
        <f t="shared" si="61"/>
        <v>473</v>
      </c>
      <c r="S463">
        <f t="shared" si="62"/>
        <v>1346</v>
      </c>
      <c r="T463">
        <f t="shared" si="63"/>
        <v>461</v>
      </c>
      <c r="U463" s="1" cm="1">
        <f t="array" ref="U463">MIN(ABS(M463:O463))</f>
        <v>0.6769708423326134</v>
      </c>
    </row>
    <row r="464" spans="1:21" x14ac:dyDescent="0.35">
      <c r="A464" t="s">
        <v>487</v>
      </c>
      <c r="B464" s="2">
        <v>291.39999999999998</v>
      </c>
      <c r="C464" s="2">
        <v>23.8</v>
      </c>
      <c r="D464" s="2">
        <v>39.58</v>
      </c>
      <c r="E464" s="2">
        <v>171.93</v>
      </c>
      <c r="F464" s="2">
        <v>13.69</v>
      </c>
      <c r="G464">
        <v>2</v>
      </c>
      <c r="H464">
        <v>9</v>
      </c>
      <c r="I464">
        <v>15</v>
      </c>
      <c r="J464">
        <v>0</v>
      </c>
      <c r="K464">
        <v>0</v>
      </c>
      <c r="L464">
        <v>2</v>
      </c>
      <c r="M464" s="1">
        <f t="shared" si="56"/>
        <v>-0.91832532601235417</v>
      </c>
      <c r="N464" s="1">
        <f t="shared" si="57"/>
        <v>-0.86417295813315032</v>
      </c>
      <c r="O464" s="1">
        <f t="shared" si="58"/>
        <v>-0.40998627316403558</v>
      </c>
      <c r="P464">
        <f t="shared" si="59"/>
        <v>483</v>
      </c>
      <c r="Q464">
        <f t="shared" si="60"/>
        <v>476</v>
      </c>
      <c r="R464">
        <f t="shared" si="61"/>
        <v>390</v>
      </c>
      <c r="S464">
        <f t="shared" si="62"/>
        <v>1349</v>
      </c>
      <c r="T464">
        <f t="shared" si="63"/>
        <v>463</v>
      </c>
      <c r="U464" s="1" cm="1">
        <f t="array" ref="U464">MIN(ABS(M464:O464))</f>
        <v>0.40998627316403558</v>
      </c>
    </row>
    <row r="465" spans="1:21" x14ac:dyDescent="0.35">
      <c r="A465" t="s">
        <v>465</v>
      </c>
      <c r="B465" s="2">
        <v>110.52</v>
      </c>
      <c r="C465" s="2">
        <v>20.64</v>
      </c>
      <c r="D465" s="2">
        <v>19.850000000000001</v>
      </c>
      <c r="E465" s="2">
        <v>31.32</v>
      </c>
      <c r="F465" s="2">
        <v>13.22</v>
      </c>
      <c r="G465">
        <v>-3</v>
      </c>
      <c r="H465">
        <v>1</v>
      </c>
      <c r="I465">
        <v>5</v>
      </c>
      <c r="J465">
        <v>0</v>
      </c>
      <c r="K465">
        <v>0</v>
      </c>
      <c r="L465">
        <v>2</v>
      </c>
      <c r="M465" s="1">
        <f t="shared" si="56"/>
        <v>-0.81324647122692728</v>
      </c>
      <c r="N465" s="1">
        <f t="shared" si="57"/>
        <v>-0.82039449873326098</v>
      </c>
      <c r="O465" s="1">
        <f t="shared" si="58"/>
        <v>-0.71661237785016285</v>
      </c>
      <c r="P465">
        <f t="shared" si="59"/>
        <v>419</v>
      </c>
      <c r="Q465">
        <f t="shared" si="60"/>
        <v>453</v>
      </c>
      <c r="R465">
        <f t="shared" si="61"/>
        <v>483</v>
      </c>
      <c r="S465">
        <f t="shared" si="62"/>
        <v>1355</v>
      </c>
      <c r="T465">
        <f t="shared" si="63"/>
        <v>464</v>
      </c>
      <c r="U465" s="1" cm="1">
        <f t="array" ref="U465">MIN(ABS(M465:O465))</f>
        <v>0.71661237785016285</v>
      </c>
    </row>
    <row r="466" spans="1:21" x14ac:dyDescent="0.35">
      <c r="A466" t="s">
        <v>473</v>
      </c>
      <c r="B466" s="2">
        <v>96.69</v>
      </c>
      <c r="C466" s="2">
        <v>10.14</v>
      </c>
      <c r="D466" s="2">
        <v>15.8</v>
      </c>
      <c r="E466" s="2">
        <v>42.65</v>
      </c>
      <c r="F466" s="2">
        <v>13.58</v>
      </c>
      <c r="G466">
        <v>1</v>
      </c>
      <c r="H466">
        <v>5</v>
      </c>
      <c r="I466">
        <v>10</v>
      </c>
      <c r="J466">
        <v>0</v>
      </c>
      <c r="K466">
        <v>0</v>
      </c>
      <c r="L466">
        <v>2</v>
      </c>
      <c r="M466" s="1">
        <f t="shared" si="56"/>
        <v>-0.89512876202295999</v>
      </c>
      <c r="N466" s="1">
        <f t="shared" si="57"/>
        <v>-0.83659116764918817</v>
      </c>
      <c r="O466" s="1">
        <f t="shared" si="58"/>
        <v>-0.55889957596442241</v>
      </c>
      <c r="P466">
        <f t="shared" si="59"/>
        <v>469</v>
      </c>
      <c r="Q466">
        <f t="shared" si="60"/>
        <v>461</v>
      </c>
      <c r="R466">
        <f t="shared" si="61"/>
        <v>434</v>
      </c>
      <c r="S466">
        <f t="shared" si="62"/>
        <v>1364</v>
      </c>
      <c r="T466">
        <f t="shared" si="63"/>
        <v>465</v>
      </c>
      <c r="U466" s="1" cm="1">
        <f t="array" ref="U466">MIN(ABS(M466:O466))</f>
        <v>0.55889957596442241</v>
      </c>
    </row>
    <row r="467" spans="1:21" x14ac:dyDescent="0.35">
      <c r="A467" t="s">
        <v>557</v>
      </c>
      <c r="B467" s="2">
        <v>5.89</v>
      </c>
      <c r="C467" s="2">
        <v>-3.42</v>
      </c>
      <c r="D467" s="2">
        <v>-1.62</v>
      </c>
      <c r="E467" s="2">
        <v>5.85</v>
      </c>
      <c r="F467" s="2">
        <v>12.05</v>
      </c>
      <c r="G467">
        <v>1</v>
      </c>
      <c r="H467">
        <v>6</v>
      </c>
      <c r="I467">
        <v>10</v>
      </c>
      <c r="J467">
        <v>0</v>
      </c>
      <c r="K467">
        <v>0</v>
      </c>
      <c r="L467">
        <v>2</v>
      </c>
      <c r="M467" s="1">
        <f t="shared" si="56"/>
        <v>-1.5806451612903225</v>
      </c>
      <c r="N467" s="1">
        <f t="shared" si="57"/>
        <v>-1.2750424448217319</v>
      </c>
      <c r="O467" s="1">
        <f t="shared" si="58"/>
        <v>-6.7911714770797493E-3</v>
      </c>
      <c r="P467">
        <f t="shared" si="59"/>
        <v>555</v>
      </c>
      <c r="Q467">
        <f t="shared" si="60"/>
        <v>547</v>
      </c>
      <c r="R467">
        <f t="shared" si="61"/>
        <v>262</v>
      </c>
      <c r="S467">
        <f t="shared" si="62"/>
        <v>1364</v>
      </c>
      <c r="T467">
        <f t="shared" si="63"/>
        <v>465</v>
      </c>
      <c r="U467" s="1" cm="1">
        <f t="array" ref="U467">MIN(ABS(M467:O467))</f>
        <v>6.7911714770797493E-3</v>
      </c>
    </row>
    <row r="468" spans="1:21" x14ac:dyDescent="0.35">
      <c r="A468" t="s">
        <v>468</v>
      </c>
      <c r="B468" s="2">
        <v>17</v>
      </c>
      <c r="C468" s="2">
        <v>2.77</v>
      </c>
      <c r="D468" s="2">
        <v>3.03</v>
      </c>
      <c r="E468" s="2">
        <v>5.58</v>
      </c>
      <c r="F468" s="2">
        <v>12</v>
      </c>
      <c r="G468">
        <v>-3</v>
      </c>
      <c r="H468">
        <v>1</v>
      </c>
      <c r="I468">
        <v>5</v>
      </c>
      <c r="J468">
        <v>0</v>
      </c>
      <c r="K468">
        <v>1</v>
      </c>
      <c r="L468">
        <v>2</v>
      </c>
      <c r="M468" s="1">
        <f t="shared" si="56"/>
        <v>-0.83705882352941174</v>
      </c>
      <c r="N468" s="1">
        <f t="shared" si="57"/>
        <v>-0.82176470588235295</v>
      </c>
      <c r="O468" s="1">
        <f t="shared" si="58"/>
        <v>-0.67176470588235293</v>
      </c>
      <c r="P468">
        <f t="shared" si="59"/>
        <v>437</v>
      </c>
      <c r="Q468">
        <f t="shared" si="60"/>
        <v>456</v>
      </c>
      <c r="R468">
        <f t="shared" si="61"/>
        <v>472</v>
      </c>
      <c r="S468">
        <f t="shared" si="62"/>
        <v>1365</v>
      </c>
      <c r="T468">
        <f t="shared" si="63"/>
        <v>467</v>
      </c>
      <c r="U468" s="1" cm="1">
        <f t="array" ref="U468">MIN(ABS(M468:O468))</f>
        <v>0.67176470588235293</v>
      </c>
    </row>
    <row r="469" spans="1:21" x14ac:dyDescent="0.35">
      <c r="A469" t="s">
        <v>503</v>
      </c>
      <c r="B469" s="2">
        <v>180.21</v>
      </c>
      <c r="C469" s="2">
        <v>8.34</v>
      </c>
      <c r="D469" s="2">
        <v>13.76</v>
      </c>
      <c r="E469" s="2">
        <v>116.1</v>
      </c>
      <c r="F469" s="2">
        <v>9.67</v>
      </c>
      <c r="G469">
        <v>2</v>
      </c>
      <c r="H469">
        <v>9</v>
      </c>
      <c r="I469">
        <v>16</v>
      </c>
      <c r="J469">
        <v>1</v>
      </c>
      <c r="K469">
        <v>5</v>
      </c>
      <c r="L469">
        <v>9</v>
      </c>
      <c r="M469" s="1">
        <f t="shared" si="56"/>
        <v>-0.95372065923089733</v>
      </c>
      <c r="N469" s="1">
        <f t="shared" si="57"/>
        <v>-0.92364463681260756</v>
      </c>
      <c r="O469" s="1">
        <f t="shared" si="58"/>
        <v>-0.35575162310637598</v>
      </c>
      <c r="P469">
        <f t="shared" si="59"/>
        <v>501</v>
      </c>
      <c r="Q469">
        <f t="shared" si="60"/>
        <v>492</v>
      </c>
      <c r="R469">
        <f t="shared" si="61"/>
        <v>372</v>
      </c>
      <c r="S469">
        <f t="shared" si="62"/>
        <v>1365</v>
      </c>
      <c r="T469">
        <f t="shared" si="63"/>
        <v>467</v>
      </c>
      <c r="U469" s="1" cm="1">
        <f t="array" ref="U469">MIN(ABS(M469:O469))</f>
        <v>0.35575162310637598</v>
      </c>
    </row>
    <row r="470" spans="1:21" x14ac:dyDescent="0.35">
      <c r="A470" t="s">
        <v>469</v>
      </c>
      <c r="B470" s="2">
        <v>294.94</v>
      </c>
      <c r="C470" s="2">
        <v>54</v>
      </c>
      <c r="D470" s="2">
        <v>52.13</v>
      </c>
      <c r="E470" s="2">
        <v>77.91</v>
      </c>
      <c r="F470" s="2">
        <v>12.52</v>
      </c>
      <c r="G470">
        <v>-3</v>
      </c>
      <c r="H470">
        <v>1</v>
      </c>
      <c r="I470">
        <v>5</v>
      </c>
      <c r="J470">
        <v>0</v>
      </c>
      <c r="K470">
        <v>0</v>
      </c>
      <c r="L470">
        <v>2</v>
      </c>
      <c r="M470" s="1">
        <f t="shared" si="56"/>
        <v>-0.81691191428765175</v>
      </c>
      <c r="N470" s="1">
        <f t="shared" si="57"/>
        <v>-0.8232521868854682</v>
      </c>
      <c r="O470" s="1">
        <f t="shared" si="58"/>
        <v>-0.73584457855835084</v>
      </c>
      <c r="P470">
        <f t="shared" si="59"/>
        <v>422</v>
      </c>
      <c r="Q470">
        <f t="shared" si="60"/>
        <v>457</v>
      </c>
      <c r="R470">
        <f t="shared" si="61"/>
        <v>487</v>
      </c>
      <c r="S470">
        <f t="shared" si="62"/>
        <v>1366</v>
      </c>
      <c r="T470">
        <f t="shared" si="63"/>
        <v>469</v>
      </c>
      <c r="U470" s="1" cm="1">
        <f t="array" ref="U470">MIN(ABS(M470:O470))</f>
        <v>0.73584457855835084</v>
      </c>
    </row>
    <row r="471" spans="1:21" x14ac:dyDescent="0.35">
      <c r="A471" t="s">
        <v>470</v>
      </c>
      <c r="B471" s="2">
        <v>13.6</v>
      </c>
      <c r="C471" s="2">
        <v>2.4500000000000002</v>
      </c>
      <c r="D471" s="2">
        <v>2.33</v>
      </c>
      <c r="E471" s="2">
        <v>3.45</v>
      </c>
      <c r="F471" s="2">
        <v>13.91</v>
      </c>
      <c r="G471">
        <v>-3</v>
      </c>
      <c r="H471">
        <v>1</v>
      </c>
      <c r="I471">
        <v>5</v>
      </c>
      <c r="J471">
        <v>0</v>
      </c>
      <c r="K471">
        <v>0</v>
      </c>
      <c r="L471">
        <v>2</v>
      </c>
      <c r="M471" s="1">
        <f t="shared" si="56"/>
        <v>-0.81985294117647056</v>
      </c>
      <c r="N471" s="1">
        <f t="shared" si="57"/>
        <v>-0.82867647058823524</v>
      </c>
      <c r="O471" s="1">
        <f t="shared" si="58"/>
        <v>-0.74632352941176472</v>
      </c>
      <c r="P471">
        <f t="shared" si="59"/>
        <v>428</v>
      </c>
      <c r="Q471">
        <f t="shared" si="60"/>
        <v>458</v>
      </c>
      <c r="R471">
        <f t="shared" si="61"/>
        <v>489</v>
      </c>
      <c r="S471">
        <f t="shared" si="62"/>
        <v>1375</v>
      </c>
      <c r="T471">
        <f t="shared" si="63"/>
        <v>470</v>
      </c>
      <c r="U471" s="1" cm="1">
        <f t="array" ref="U471">MIN(ABS(M471:O471))</f>
        <v>0.74632352941176472</v>
      </c>
    </row>
    <row r="472" spans="1:21" x14ac:dyDescent="0.35">
      <c r="A472" t="s">
        <v>467</v>
      </c>
      <c r="B472" s="2">
        <v>780.6</v>
      </c>
      <c r="C472" s="2">
        <v>117.32</v>
      </c>
      <c r="D472" s="2">
        <v>139.46</v>
      </c>
      <c r="E472" s="2">
        <v>215.85</v>
      </c>
      <c r="F472" s="2">
        <v>12.74</v>
      </c>
      <c r="G472">
        <v>1</v>
      </c>
      <c r="H472">
        <v>3</v>
      </c>
      <c r="I472">
        <v>5</v>
      </c>
      <c r="J472">
        <v>0</v>
      </c>
      <c r="K472">
        <v>0</v>
      </c>
      <c r="L472">
        <v>2</v>
      </c>
      <c r="M472" s="1">
        <f t="shared" si="56"/>
        <v>-0.84970535485523957</v>
      </c>
      <c r="N472" s="1">
        <f t="shared" si="57"/>
        <v>-0.8213425570074302</v>
      </c>
      <c r="O472" s="1">
        <f t="shared" si="58"/>
        <v>-0.72348193697156038</v>
      </c>
      <c r="P472">
        <f t="shared" si="59"/>
        <v>447</v>
      </c>
      <c r="Q472">
        <f t="shared" si="60"/>
        <v>455</v>
      </c>
      <c r="R472">
        <f t="shared" si="61"/>
        <v>485</v>
      </c>
      <c r="S472">
        <f t="shared" si="62"/>
        <v>1387</v>
      </c>
      <c r="T472">
        <f t="shared" si="63"/>
        <v>471</v>
      </c>
      <c r="U472" s="1" cm="1">
        <f t="array" ref="U472">MIN(ABS(M472:O472))</f>
        <v>0.72348193697156038</v>
      </c>
    </row>
    <row r="473" spans="1:21" x14ac:dyDescent="0.35">
      <c r="A473" t="s">
        <v>475</v>
      </c>
      <c r="B473" s="2">
        <v>52.31</v>
      </c>
      <c r="C473" s="2">
        <v>6.34</v>
      </c>
      <c r="D473" s="2">
        <v>8.5</v>
      </c>
      <c r="E473" s="2">
        <v>17.93</v>
      </c>
      <c r="F473" s="2">
        <v>12.75</v>
      </c>
      <c r="G473">
        <v>0</v>
      </c>
      <c r="H473">
        <v>2</v>
      </c>
      <c r="I473">
        <v>5</v>
      </c>
      <c r="J473">
        <v>0</v>
      </c>
      <c r="K473">
        <v>0</v>
      </c>
      <c r="L473">
        <v>2</v>
      </c>
      <c r="M473" s="1">
        <f t="shared" si="56"/>
        <v>-0.87879946472949722</v>
      </c>
      <c r="N473" s="1">
        <f t="shared" si="57"/>
        <v>-0.83750716880137643</v>
      </c>
      <c r="O473" s="1">
        <f t="shared" si="58"/>
        <v>-0.65723571018925631</v>
      </c>
      <c r="P473">
        <f t="shared" si="59"/>
        <v>461</v>
      </c>
      <c r="Q473">
        <f t="shared" si="60"/>
        <v>463</v>
      </c>
      <c r="R473">
        <f t="shared" si="61"/>
        <v>468</v>
      </c>
      <c r="S473">
        <f t="shared" si="62"/>
        <v>1392</v>
      </c>
      <c r="T473">
        <f t="shared" si="63"/>
        <v>472</v>
      </c>
      <c r="U473" s="1" cm="1">
        <f t="array" ref="U473">MIN(ABS(M473:O473))</f>
        <v>0.65723571018925631</v>
      </c>
    </row>
    <row r="474" spans="1:21" x14ac:dyDescent="0.35">
      <c r="A474" t="s">
        <v>491</v>
      </c>
      <c r="B474" s="2">
        <v>131.41999999999999</v>
      </c>
      <c r="C474" s="2">
        <v>12.3</v>
      </c>
      <c r="D474" s="2">
        <v>16.899999999999999</v>
      </c>
      <c r="E474" s="2">
        <v>56.67</v>
      </c>
      <c r="F474" s="2">
        <v>13.92</v>
      </c>
      <c r="G474">
        <v>-2</v>
      </c>
      <c r="H474">
        <v>1</v>
      </c>
      <c r="I474">
        <v>5</v>
      </c>
      <c r="J474">
        <v>0</v>
      </c>
      <c r="K474">
        <v>0</v>
      </c>
      <c r="L474">
        <v>2</v>
      </c>
      <c r="M474" s="1">
        <f t="shared" si="56"/>
        <v>-0.90640693958301632</v>
      </c>
      <c r="N474" s="1">
        <f t="shared" si="57"/>
        <v>-0.8714046568254451</v>
      </c>
      <c r="O474" s="1">
        <f t="shared" si="58"/>
        <v>-0.56878709481053114</v>
      </c>
      <c r="P474">
        <f t="shared" si="59"/>
        <v>475</v>
      </c>
      <c r="Q474">
        <f t="shared" si="60"/>
        <v>480</v>
      </c>
      <c r="R474">
        <f t="shared" si="61"/>
        <v>440</v>
      </c>
      <c r="S474">
        <f t="shared" si="62"/>
        <v>1395</v>
      </c>
      <c r="T474">
        <f t="shared" si="63"/>
        <v>473</v>
      </c>
      <c r="U474" s="1" cm="1">
        <f t="array" ref="U474">MIN(ABS(M474:O474))</f>
        <v>0.56878709481053114</v>
      </c>
    </row>
    <row r="475" spans="1:21" x14ac:dyDescent="0.35">
      <c r="A475" t="s">
        <v>471</v>
      </c>
      <c r="B475" s="2">
        <v>3.78</v>
      </c>
      <c r="C475" s="2">
        <v>0.62</v>
      </c>
      <c r="D475" s="2">
        <v>0.63</v>
      </c>
      <c r="E475" s="2">
        <v>0.72</v>
      </c>
      <c r="F475" s="2">
        <v>15.55</v>
      </c>
      <c r="G475">
        <v>-3</v>
      </c>
      <c r="H475">
        <v>1</v>
      </c>
      <c r="I475">
        <v>5</v>
      </c>
      <c r="J475">
        <v>0</v>
      </c>
      <c r="K475">
        <v>0</v>
      </c>
      <c r="L475">
        <v>2</v>
      </c>
      <c r="M475" s="1">
        <f t="shared" si="56"/>
        <v>-0.83597883597883593</v>
      </c>
      <c r="N475" s="1">
        <f t="shared" si="57"/>
        <v>-0.83333333333333326</v>
      </c>
      <c r="O475" s="1">
        <f t="shared" si="58"/>
        <v>-0.80952380952380953</v>
      </c>
      <c r="P475">
        <f t="shared" si="59"/>
        <v>436</v>
      </c>
      <c r="Q475">
        <f t="shared" si="60"/>
        <v>459</v>
      </c>
      <c r="R475">
        <f t="shared" si="61"/>
        <v>504</v>
      </c>
      <c r="S475">
        <f t="shared" si="62"/>
        <v>1399</v>
      </c>
      <c r="T475">
        <f t="shared" si="63"/>
        <v>474</v>
      </c>
      <c r="U475" s="1" cm="1">
        <f t="array" ref="U475">MIN(ABS(M475:O475))</f>
        <v>0.80952380952380953</v>
      </c>
    </row>
    <row r="476" spans="1:21" x14ac:dyDescent="0.35">
      <c r="A476" t="s">
        <v>478</v>
      </c>
      <c r="B476" s="2">
        <v>198.73</v>
      </c>
      <c r="C476" s="2">
        <v>31.98</v>
      </c>
      <c r="D476" s="2">
        <v>31.23</v>
      </c>
      <c r="E476" s="2">
        <v>42.79</v>
      </c>
      <c r="F476" s="2">
        <v>10.5</v>
      </c>
      <c r="G476">
        <v>-3</v>
      </c>
      <c r="H476">
        <v>1</v>
      </c>
      <c r="I476">
        <v>5</v>
      </c>
      <c r="J476">
        <v>0</v>
      </c>
      <c r="K476">
        <v>0</v>
      </c>
      <c r="L476">
        <v>2</v>
      </c>
      <c r="M476" s="1">
        <f t="shared" si="56"/>
        <v>-0.83907814622855126</v>
      </c>
      <c r="N476" s="1">
        <f t="shared" si="57"/>
        <v>-0.84285211090424195</v>
      </c>
      <c r="O476" s="1">
        <f t="shared" si="58"/>
        <v>-0.78468273536959687</v>
      </c>
      <c r="P476">
        <f t="shared" si="59"/>
        <v>439</v>
      </c>
      <c r="Q476">
        <f t="shared" si="60"/>
        <v>466</v>
      </c>
      <c r="R476">
        <f t="shared" si="61"/>
        <v>494</v>
      </c>
      <c r="S476">
        <f t="shared" si="62"/>
        <v>1399</v>
      </c>
      <c r="T476">
        <f t="shared" si="63"/>
        <v>474</v>
      </c>
      <c r="U476" s="1" cm="1">
        <f t="array" ref="U476">MIN(ABS(M476:O476))</f>
        <v>0.78468273536959687</v>
      </c>
    </row>
    <row r="477" spans="1:21" x14ac:dyDescent="0.35">
      <c r="A477" t="s">
        <v>478</v>
      </c>
      <c r="B477" s="2">
        <v>198.73</v>
      </c>
      <c r="C477" s="2">
        <v>31.98</v>
      </c>
      <c r="D477" s="2">
        <v>31.23</v>
      </c>
      <c r="E477" s="2">
        <v>42.79</v>
      </c>
      <c r="F477" s="2">
        <v>10.5</v>
      </c>
      <c r="G477">
        <v>-3</v>
      </c>
      <c r="H477">
        <v>1</v>
      </c>
      <c r="I477">
        <v>5</v>
      </c>
      <c r="J477">
        <v>0</v>
      </c>
      <c r="K477">
        <v>0</v>
      </c>
      <c r="L477">
        <v>2</v>
      </c>
      <c r="M477" s="1">
        <f t="shared" si="56"/>
        <v>-0.83907814622855126</v>
      </c>
      <c r="N477" s="1">
        <f t="shared" si="57"/>
        <v>-0.84285211090424195</v>
      </c>
      <c r="O477" s="1">
        <f t="shared" si="58"/>
        <v>-0.78468273536959687</v>
      </c>
      <c r="P477">
        <f t="shared" si="59"/>
        <v>439</v>
      </c>
      <c r="Q477">
        <f t="shared" si="60"/>
        <v>466</v>
      </c>
      <c r="R477">
        <f t="shared" si="61"/>
        <v>494</v>
      </c>
      <c r="S477">
        <f t="shared" si="62"/>
        <v>1399</v>
      </c>
      <c r="T477">
        <f t="shared" si="63"/>
        <v>474</v>
      </c>
      <c r="U477" s="1" cm="1">
        <f t="array" ref="U477">MIN(ABS(M477:O477))</f>
        <v>0.78468273536959687</v>
      </c>
    </row>
    <row r="478" spans="1:21" x14ac:dyDescent="0.35">
      <c r="A478" t="s">
        <v>479</v>
      </c>
      <c r="B478" s="2">
        <v>339.39</v>
      </c>
      <c r="C478" s="2">
        <v>52.66</v>
      </c>
      <c r="D478" s="2">
        <v>51.07</v>
      </c>
      <c r="E478" s="2">
        <v>79.44</v>
      </c>
      <c r="F478" s="2">
        <v>12.62</v>
      </c>
      <c r="G478">
        <v>-3</v>
      </c>
      <c r="H478">
        <v>1</v>
      </c>
      <c r="I478">
        <v>5</v>
      </c>
      <c r="J478">
        <v>0</v>
      </c>
      <c r="K478">
        <v>0</v>
      </c>
      <c r="L478">
        <v>2</v>
      </c>
      <c r="M478" s="1">
        <f t="shared" si="56"/>
        <v>-0.84483927045581786</v>
      </c>
      <c r="N478" s="1">
        <f t="shared" si="57"/>
        <v>-0.84952414626241191</v>
      </c>
      <c r="O478" s="1">
        <f t="shared" si="58"/>
        <v>-0.76593299743657739</v>
      </c>
      <c r="P478">
        <f t="shared" si="59"/>
        <v>444</v>
      </c>
      <c r="Q478">
        <f t="shared" si="60"/>
        <v>468</v>
      </c>
      <c r="R478">
        <f t="shared" si="61"/>
        <v>490</v>
      </c>
      <c r="S478">
        <f t="shared" si="62"/>
        <v>1402</v>
      </c>
      <c r="T478">
        <f t="shared" si="63"/>
        <v>477</v>
      </c>
      <c r="U478" s="1" cm="1">
        <f t="array" ref="U478">MIN(ABS(M478:O478))</f>
        <v>0.76593299743657739</v>
      </c>
    </row>
    <row r="479" spans="1:21" x14ac:dyDescent="0.35">
      <c r="A479" t="s">
        <v>476</v>
      </c>
      <c r="B479" s="2">
        <v>98.87</v>
      </c>
      <c r="C479" s="2">
        <v>15.07</v>
      </c>
      <c r="D479" s="2">
        <v>15.75</v>
      </c>
      <c r="E479" s="2">
        <v>19.66</v>
      </c>
      <c r="F479" s="2">
        <v>14.01</v>
      </c>
      <c r="G479">
        <v>0</v>
      </c>
      <c r="H479">
        <v>1</v>
      </c>
      <c r="I479">
        <v>5</v>
      </c>
      <c r="J479">
        <v>0</v>
      </c>
      <c r="K479">
        <v>0</v>
      </c>
      <c r="L479">
        <v>2</v>
      </c>
      <c r="M479" s="1">
        <f t="shared" si="56"/>
        <v>-0.84757762718721552</v>
      </c>
      <c r="N479" s="1">
        <f t="shared" si="57"/>
        <v>-0.84069990897137659</v>
      </c>
      <c r="O479" s="1">
        <f t="shared" si="58"/>
        <v>-0.8011530292303024</v>
      </c>
      <c r="P479">
        <f t="shared" si="59"/>
        <v>446</v>
      </c>
      <c r="Q479">
        <f t="shared" si="60"/>
        <v>464</v>
      </c>
      <c r="R479">
        <f t="shared" si="61"/>
        <v>499</v>
      </c>
      <c r="S479">
        <f t="shared" si="62"/>
        <v>1409</v>
      </c>
      <c r="T479">
        <f t="shared" si="63"/>
        <v>478</v>
      </c>
      <c r="U479" s="1" cm="1">
        <f t="array" ref="U479">MIN(ABS(M479:O479))</f>
        <v>0.8011530292303024</v>
      </c>
    </row>
    <row r="480" spans="1:21" x14ac:dyDescent="0.35">
      <c r="A480" t="s">
        <v>483</v>
      </c>
      <c r="B480" s="2">
        <v>73.349999999999994</v>
      </c>
      <c r="C480" s="2">
        <v>10.58</v>
      </c>
      <c r="D480" s="2">
        <v>10.26</v>
      </c>
      <c r="E480" s="2">
        <v>16.510000000000002</v>
      </c>
      <c r="F480" s="2">
        <v>13.6</v>
      </c>
      <c r="G480">
        <v>-3</v>
      </c>
      <c r="H480">
        <v>1</v>
      </c>
      <c r="I480">
        <v>5</v>
      </c>
      <c r="J480">
        <v>0</v>
      </c>
      <c r="K480">
        <v>0</v>
      </c>
      <c r="L480">
        <v>2</v>
      </c>
      <c r="M480" s="1">
        <f t="shared" si="56"/>
        <v>-0.85576005453306059</v>
      </c>
      <c r="N480" s="1">
        <f t="shared" si="57"/>
        <v>-0.8601226993865031</v>
      </c>
      <c r="O480" s="1">
        <f t="shared" si="58"/>
        <v>-0.77491479209270619</v>
      </c>
      <c r="P480">
        <f t="shared" si="59"/>
        <v>451</v>
      </c>
      <c r="Q480">
        <f t="shared" si="60"/>
        <v>472</v>
      </c>
      <c r="R480">
        <f t="shared" si="61"/>
        <v>492</v>
      </c>
      <c r="S480">
        <f t="shared" si="62"/>
        <v>1415</v>
      </c>
      <c r="T480">
        <f t="shared" si="63"/>
        <v>479</v>
      </c>
      <c r="U480" s="1" cm="1">
        <f t="array" ref="U480">MIN(ABS(M480:O480))</f>
        <v>0.77491479209270619</v>
      </c>
    </row>
    <row r="481" spans="1:21" x14ac:dyDescent="0.35">
      <c r="A481" t="s">
        <v>489</v>
      </c>
      <c r="B481" s="2">
        <v>90.89</v>
      </c>
      <c r="C481" s="2">
        <v>12.7</v>
      </c>
      <c r="D481" s="2">
        <v>12.12</v>
      </c>
      <c r="E481" s="2">
        <v>20.25</v>
      </c>
      <c r="F481" s="2">
        <v>15.37</v>
      </c>
      <c r="G481">
        <v>2</v>
      </c>
      <c r="H481">
        <v>7</v>
      </c>
      <c r="I481">
        <v>12</v>
      </c>
      <c r="J481">
        <v>0</v>
      </c>
      <c r="K481">
        <v>0</v>
      </c>
      <c r="L481">
        <v>2</v>
      </c>
      <c r="M481" s="1">
        <f t="shared" si="56"/>
        <v>-0.86027065683793591</v>
      </c>
      <c r="N481" s="1">
        <f t="shared" si="57"/>
        <v>-0.86665199691935313</v>
      </c>
      <c r="O481" s="1">
        <f t="shared" si="58"/>
        <v>-0.77720321267466175</v>
      </c>
      <c r="P481">
        <f t="shared" si="59"/>
        <v>453</v>
      </c>
      <c r="Q481">
        <f t="shared" si="60"/>
        <v>478</v>
      </c>
      <c r="R481">
        <f t="shared" si="61"/>
        <v>493</v>
      </c>
      <c r="S481">
        <f t="shared" si="62"/>
        <v>1424</v>
      </c>
      <c r="T481">
        <f t="shared" si="63"/>
        <v>480</v>
      </c>
      <c r="U481" s="1" cm="1">
        <f t="array" ref="U481">MIN(ABS(M481:O481))</f>
        <v>0.77720321267466175</v>
      </c>
    </row>
    <row r="482" spans="1:21" x14ac:dyDescent="0.35">
      <c r="A482" t="s">
        <v>486</v>
      </c>
      <c r="B482" s="2">
        <v>131.69999999999999</v>
      </c>
      <c r="C482" s="2">
        <v>14.5</v>
      </c>
      <c r="D482" s="2">
        <v>18.21</v>
      </c>
      <c r="E482" s="2">
        <v>35.65</v>
      </c>
      <c r="F482" s="2">
        <v>12.36</v>
      </c>
      <c r="G482">
        <v>1</v>
      </c>
      <c r="H482">
        <v>6</v>
      </c>
      <c r="I482">
        <v>10</v>
      </c>
      <c r="J482">
        <v>0</v>
      </c>
      <c r="K482">
        <v>0</v>
      </c>
      <c r="L482">
        <v>2</v>
      </c>
      <c r="M482" s="1">
        <f t="shared" si="56"/>
        <v>-0.88990129081245251</v>
      </c>
      <c r="N482" s="1">
        <f t="shared" si="57"/>
        <v>-0.86173120728929387</v>
      </c>
      <c r="O482" s="1">
        <f t="shared" si="58"/>
        <v>-0.72930903568716787</v>
      </c>
      <c r="P482">
        <f t="shared" si="59"/>
        <v>466</v>
      </c>
      <c r="Q482">
        <f t="shared" si="60"/>
        <v>475</v>
      </c>
      <c r="R482">
        <f t="shared" si="61"/>
        <v>486</v>
      </c>
      <c r="S482">
        <f t="shared" si="62"/>
        <v>1427</v>
      </c>
      <c r="T482">
        <f t="shared" si="63"/>
        <v>481</v>
      </c>
      <c r="U482" s="1" cm="1">
        <f t="array" ref="U482">MIN(ABS(M482:O482))</f>
        <v>0.72930903568716787</v>
      </c>
    </row>
    <row r="483" spans="1:21" x14ac:dyDescent="0.35">
      <c r="A483" t="s">
        <v>484</v>
      </c>
      <c r="B483" s="2">
        <v>104.25</v>
      </c>
      <c r="C483" s="2">
        <v>14.5</v>
      </c>
      <c r="D483" s="2">
        <v>14.58</v>
      </c>
      <c r="E483" s="2">
        <v>20.6</v>
      </c>
      <c r="F483" s="2">
        <v>15.69</v>
      </c>
      <c r="G483">
        <v>1</v>
      </c>
      <c r="H483">
        <v>3</v>
      </c>
      <c r="I483">
        <v>6</v>
      </c>
      <c r="J483">
        <v>0</v>
      </c>
      <c r="K483">
        <v>0</v>
      </c>
      <c r="L483">
        <v>2</v>
      </c>
      <c r="M483" s="1">
        <f t="shared" si="56"/>
        <v>-0.86091127098321341</v>
      </c>
      <c r="N483" s="1">
        <f t="shared" si="57"/>
        <v>-0.86014388489208637</v>
      </c>
      <c r="O483" s="1">
        <f t="shared" si="58"/>
        <v>-0.80239808153477221</v>
      </c>
      <c r="P483">
        <f t="shared" si="59"/>
        <v>455</v>
      </c>
      <c r="Q483">
        <f t="shared" si="60"/>
        <v>473</v>
      </c>
      <c r="R483">
        <f t="shared" si="61"/>
        <v>501</v>
      </c>
      <c r="S483">
        <f t="shared" si="62"/>
        <v>1429</v>
      </c>
      <c r="T483">
        <f t="shared" si="63"/>
        <v>482</v>
      </c>
      <c r="U483" s="1" cm="1">
        <f t="array" ref="U483">MIN(ABS(M483:O483))</f>
        <v>0.80239808153477221</v>
      </c>
    </row>
    <row r="484" spans="1:21" x14ac:dyDescent="0.35">
      <c r="A484" t="s">
        <v>502</v>
      </c>
      <c r="B484" s="2">
        <v>5</v>
      </c>
      <c r="C484" s="2">
        <v>0.17</v>
      </c>
      <c r="D484" s="2">
        <v>0.39</v>
      </c>
      <c r="E484" s="2">
        <v>2.16</v>
      </c>
      <c r="F484" s="2">
        <v>16.8</v>
      </c>
      <c r="G484">
        <v>-3</v>
      </c>
      <c r="H484">
        <v>1</v>
      </c>
      <c r="I484">
        <v>5</v>
      </c>
      <c r="J484">
        <v>0</v>
      </c>
      <c r="K484">
        <v>0</v>
      </c>
      <c r="L484">
        <v>2</v>
      </c>
      <c r="M484" s="1">
        <f t="shared" si="56"/>
        <v>-0.96599999999999997</v>
      </c>
      <c r="N484" s="1">
        <f t="shared" si="57"/>
        <v>-0.92200000000000004</v>
      </c>
      <c r="O484" s="1">
        <f t="shared" si="58"/>
        <v>-0.56799999999999995</v>
      </c>
      <c r="P484">
        <f t="shared" si="59"/>
        <v>506</v>
      </c>
      <c r="Q484">
        <f t="shared" si="60"/>
        <v>491</v>
      </c>
      <c r="R484">
        <f t="shared" si="61"/>
        <v>436</v>
      </c>
      <c r="S484">
        <f t="shared" si="62"/>
        <v>1433</v>
      </c>
      <c r="T484">
        <f t="shared" si="63"/>
        <v>483</v>
      </c>
      <c r="U484" s="1" cm="1">
        <f t="array" ref="U484">MIN(ABS(M484:O484))</f>
        <v>0.56799999999999995</v>
      </c>
    </row>
    <row r="485" spans="1:21" x14ac:dyDescent="0.35">
      <c r="A485" t="s">
        <v>481</v>
      </c>
      <c r="B485" s="2">
        <v>79.89</v>
      </c>
      <c r="C485" s="2">
        <v>9.85</v>
      </c>
      <c r="D485" s="2">
        <v>11.35</v>
      </c>
      <c r="E485" s="2">
        <v>15.07</v>
      </c>
      <c r="F485" s="2">
        <v>16.09</v>
      </c>
      <c r="G485">
        <v>-3</v>
      </c>
      <c r="H485">
        <v>1</v>
      </c>
      <c r="I485">
        <v>5</v>
      </c>
      <c r="J485">
        <v>0</v>
      </c>
      <c r="K485">
        <v>0</v>
      </c>
      <c r="L485">
        <v>2</v>
      </c>
      <c r="M485" s="1">
        <f t="shared" si="56"/>
        <v>-0.8767054700212793</v>
      </c>
      <c r="N485" s="1">
        <f t="shared" si="57"/>
        <v>-0.85792965327325077</v>
      </c>
      <c r="O485" s="1">
        <f t="shared" si="58"/>
        <v>-0.81136562773813992</v>
      </c>
      <c r="P485">
        <f t="shared" si="59"/>
        <v>459</v>
      </c>
      <c r="Q485">
        <f t="shared" si="60"/>
        <v>470</v>
      </c>
      <c r="R485">
        <f t="shared" si="61"/>
        <v>505</v>
      </c>
      <c r="S485">
        <f t="shared" si="62"/>
        <v>1434</v>
      </c>
      <c r="T485">
        <f t="shared" si="63"/>
        <v>484</v>
      </c>
      <c r="U485" s="1" cm="1">
        <f t="array" ref="U485">MIN(ABS(M485:O485))</f>
        <v>0.81136562773813992</v>
      </c>
    </row>
    <row r="486" spans="1:21" x14ac:dyDescent="0.35">
      <c r="A486" t="s">
        <v>497</v>
      </c>
      <c r="B486" s="2">
        <v>169.13</v>
      </c>
      <c r="C486" s="2">
        <v>10.25</v>
      </c>
      <c r="D486" s="2">
        <v>16.61</v>
      </c>
      <c r="E486" s="2">
        <v>64.83</v>
      </c>
      <c r="F486" s="2">
        <v>13.42</v>
      </c>
      <c r="G486">
        <v>2</v>
      </c>
      <c r="H486">
        <v>10</v>
      </c>
      <c r="I486">
        <v>17</v>
      </c>
      <c r="J486">
        <v>0</v>
      </c>
      <c r="K486">
        <v>0</v>
      </c>
      <c r="L486">
        <v>2</v>
      </c>
      <c r="M486" s="1">
        <f t="shared" si="56"/>
        <v>-0.93939573109442442</v>
      </c>
      <c r="N486" s="1">
        <f t="shared" si="57"/>
        <v>-0.90179152131496476</v>
      </c>
      <c r="O486" s="1">
        <f t="shared" si="58"/>
        <v>-0.61668538993673505</v>
      </c>
      <c r="P486">
        <f t="shared" si="59"/>
        <v>494</v>
      </c>
      <c r="Q486">
        <f t="shared" si="60"/>
        <v>486</v>
      </c>
      <c r="R486">
        <f t="shared" si="61"/>
        <v>457</v>
      </c>
      <c r="S486">
        <f t="shared" si="62"/>
        <v>1437</v>
      </c>
      <c r="T486">
        <f t="shared" si="63"/>
        <v>485</v>
      </c>
      <c r="U486" s="1" cm="1">
        <f t="array" ref="U486">MIN(ABS(M486:O486))</f>
        <v>0.61668538993673505</v>
      </c>
    </row>
    <row r="487" spans="1:21" x14ac:dyDescent="0.35">
      <c r="A487" t="s">
        <v>490</v>
      </c>
      <c r="B487" s="2">
        <v>86.3</v>
      </c>
      <c r="C487" s="2">
        <v>11.14</v>
      </c>
      <c r="D487" s="2">
        <v>11.39</v>
      </c>
      <c r="E487" s="2">
        <v>13.9</v>
      </c>
      <c r="F487" s="2">
        <v>12.54</v>
      </c>
      <c r="G487">
        <v>1</v>
      </c>
      <c r="H487">
        <v>5</v>
      </c>
      <c r="I487">
        <v>9</v>
      </c>
      <c r="J487">
        <v>0</v>
      </c>
      <c r="K487">
        <v>0</v>
      </c>
      <c r="L487">
        <v>2</v>
      </c>
      <c r="M487" s="1">
        <f t="shared" si="56"/>
        <v>-0.8709154113557358</v>
      </c>
      <c r="N487" s="1">
        <f t="shared" si="57"/>
        <v>-0.86801853997682499</v>
      </c>
      <c r="O487" s="1">
        <f t="shared" si="58"/>
        <v>-0.83893395133256088</v>
      </c>
      <c r="P487">
        <f t="shared" si="59"/>
        <v>456</v>
      </c>
      <c r="Q487">
        <f t="shared" si="60"/>
        <v>479</v>
      </c>
      <c r="R487">
        <f t="shared" si="61"/>
        <v>509</v>
      </c>
      <c r="S487">
        <f t="shared" si="62"/>
        <v>1444</v>
      </c>
      <c r="T487">
        <f t="shared" si="63"/>
        <v>486</v>
      </c>
      <c r="U487" s="1" cm="1">
        <f t="array" ref="U487">MIN(ABS(M487:O487))</f>
        <v>0.83893395133256088</v>
      </c>
    </row>
    <row r="488" spans="1:21" x14ac:dyDescent="0.35">
      <c r="A488" t="s">
        <v>508</v>
      </c>
      <c r="B488" s="2">
        <v>94.94</v>
      </c>
      <c r="C488" s="2">
        <v>8.49</v>
      </c>
      <c r="D488" s="2">
        <v>5.97</v>
      </c>
      <c r="E488" s="2">
        <v>32.28</v>
      </c>
      <c r="F488" s="2">
        <v>15.43</v>
      </c>
      <c r="G488">
        <v>2</v>
      </c>
      <c r="H488">
        <v>8</v>
      </c>
      <c r="I488">
        <v>14</v>
      </c>
      <c r="J488">
        <v>0</v>
      </c>
      <c r="K488">
        <v>1</v>
      </c>
      <c r="L488">
        <v>3</v>
      </c>
      <c r="M488" s="1">
        <f t="shared" si="56"/>
        <v>-0.91057510006319786</v>
      </c>
      <c r="N488" s="1">
        <f t="shared" si="57"/>
        <v>-0.93711817990309665</v>
      </c>
      <c r="O488" s="1">
        <f t="shared" si="58"/>
        <v>-0.65999578681272375</v>
      </c>
      <c r="P488">
        <f t="shared" si="59"/>
        <v>478</v>
      </c>
      <c r="Q488">
        <f t="shared" si="60"/>
        <v>497</v>
      </c>
      <c r="R488">
        <f t="shared" si="61"/>
        <v>471</v>
      </c>
      <c r="S488">
        <f t="shared" si="62"/>
        <v>1446</v>
      </c>
      <c r="T488">
        <f t="shared" si="63"/>
        <v>487</v>
      </c>
      <c r="U488" s="1" cm="1">
        <f t="array" ref="U488">MIN(ABS(M488:O488))</f>
        <v>0.65999578681272375</v>
      </c>
    </row>
    <row r="489" spans="1:21" x14ac:dyDescent="0.35">
      <c r="A489" t="s">
        <v>495</v>
      </c>
      <c r="B489" s="2">
        <v>160.65</v>
      </c>
      <c r="C489" s="2">
        <v>12.33</v>
      </c>
      <c r="D489" s="2">
        <v>18.190000000000001</v>
      </c>
      <c r="E489" s="2">
        <v>48.06</v>
      </c>
      <c r="F489" s="2">
        <v>12.12</v>
      </c>
      <c r="G489">
        <v>1</v>
      </c>
      <c r="H489">
        <v>6</v>
      </c>
      <c r="I489">
        <v>11</v>
      </c>
      <c r="J489">
        <v>0</v>
      </c>
      <c r="K489">
        <v>0</v>
      </c>
      <c r="L489">
        <v>2</v>
      </c>
      <c r="M489" s="1">
        <f t="shared" si="56"/>
        <v>-0.92324929971988801</v>
      </c>
      <c r="N489" s="1">
        <f t="shared" si="57"/>
        <v>-0.88677248677248677</v>
      </c>
      <c r="O489" s="1">
        <f t="shared" si="58"/>
        <v>-0.70084033613445373</v>
      </c>
      <c r="P489">
        <f t="shared" si="59"/>
        <v>485</v>
      </c>
      <c r="Q489">
        <f t="shared" si="60"/>
        <v>484</v>
      </c>
      <c r="R489">
        <f t="shared" si="61"/>
        <v>480</v>
      </c>
      <c r="S489">
        <f t="shared" si="62"/>
        <v>1449</v>
      </c>
      <c r="T489">
        <f t="shared" si="63"/>
        <v>488</v>
      </c>
      <c r="U489" s="1" cm="1">
        <f t="array" ref="U489">MIN(ABS(M489:O489))</f>
        <v>0.70084033613445373</v>
      </c>
    </row>
    <row r="490" spans="1:21" x14ac:dyDescent="0.35">
      <c r="A490" t="s">
        <v>494</v>
      </c>
      <c r="B490" s="2">
        <v>74.930000000000007</v>
      </c>
      <c r="C490" s="2">
        <v>7.83</v>
      </c>
      <c r="D490" s="2">
        <v>9.06</v>
      </c>
      <c r="E490" s="2">
        <v>14.92</v>
      </c>
      <c r="F490" s="2">
        <v>12.87</v>
      </c>
      <c r="G490">
        <v>0</v>
      </c>
      <c r="H490">
        <v>2</v>
      </c>
      <c r="I490">
        <v>5</v>
      </c>
      <c r="J490">
        <v>0</v>
      </c>
      <c r="K490">
        <v>0</v>
      </c>
      <c r="L490">
        <v>2</v>
      </c>
      <c r="M490" s="1">
        <f t="shared" si="56"/>
        <v>-0.89550246897103969</v>
      </c>
      <c r="N490" s="1">
        <f t="shared" si="57"/>
        <v>-0.87908714800480448</v>
      </c>
      <c r="O490" s="1">
        <f t="shared" si="58"/>
        <v>-0.80088082210062728</v>
      </c>
      <c r="P490">
        <f t="shared" si="59"/>
        <v>470</v>
      </c>
      <c r="Q490">
        <f t="shared" si="60"/>
        <v>483</v>
      </c>
      <c r="R490">
        <f t="shared" si="61"/>
        <v>498</v>
      </c>
      <c r="S490">
        <f t="shared" si="62"/>
        <v>1451</v>
      </c>
      <c r="T490">
        <f t="shared" si="63"/>
        <v>489</v>
      </c>
      <c r="U490" s="1" cm="1">
        <f t="array" ref="U490">MIN(ABS(M490:O490))</f>
        <v>0.80088082210062728</v>
      </c>
    </row>
    <row r="491" spans="1:21" x14ac:dyDescent="0.35">
      <c r="A491" t="s">
        <v>496</v>
      </c>
      <c r="B491" s="2">
        <v>70.81</v>
      </c>
      <c r="C491" s="2">
        <v>8.07</v>
      </c>
      <c r="D491" s="2">
        <v>7.55</v>
      </c>
      <c r="E491" s="2">
        <v>13.88</v>
      </c>
      <c r="F491" s="2">
        <v>12.93</v>
      </c>
      <c r="G491">
        <v>-3</v>
      </c>
      <c r="H491">
        <v>1</v>
      </c>
      <c r="I491">
        <v>5</v>
      </c>
      <c r="J491">
        <v>0</v>
      </c>
      <c r="K491">
        <v>0</v>
      </c>
      <c r="L491">
        <v>2</v>
      </c>
      <c r="M491" s="1">
        <f t="shared" si="56"/>
        <v>-0.88603304617991807</v>
      </c>
      <c r="N491" s="1">
        <f t="shared" si="57"/>
        <v>-0.8933766417172716</v>
      </c>
      <c r="O491" s="1">
        <f t="shared" si="58"/>
        <v>-0.80398248834910324</v>
      </c>
      <c r="P491">
        <f t="shared" si="59"/>
        <v>465</v>
      </c>
      <c r="Q491">
        <f t="shared" si="60"/>
        <v>485</v>
      </c>
      <c r="R491">
        <f t="shared" si="61"/>
        <v>502</v>
      </c>
      <c r="S491">
        <f t="shared" si="62"/>
        <v>1452</v>
      </c>
      <c r="T491">
        <f t="shared" si="63"/>
        <v>490</v>
      </c>
      <c r="U491" s="1" cm="1">
        <f t="array" ref="U491">MIN(ABS(M491:O491))</f>
        <v>0.80398248834910324</v>
      </c>
    </row>
    <row r="492" spans="1:21" x14ac:dyDescent="0.35">
      <c r="A492" t="s">
        <v>493</v>
      </c>
      <c r="B492" s="2">
        <v>34.869999999999997</v>
      </c>
      <c r="C492" s="2">
        <v>3.05</v>
      </c>
      <c r="D492" s="2">
        <v>4.22</v>
      </c>
      <c r="E492" s="2">
        <v>5.33</v>
      </c>
      <c r="F492" s="2">
        <v>14.73</v>
      </c>
      <c r="G492">
        <v>-3</v>
      </c>
      <c r="H492">
        <v>1</v>
      </c>
      <c r="I492">
        <v>5</v>
      </c>
      <c r="J492">
        <v>0</v>
      </c>
      <c r="K492">
        <v>0</v>
      </c>
      <c r="L492">
        <v>2</v>
      </c>
      <c r="M492" s="1">
        <f t="shared" si="56"/>
        <v>-0.91253226268999144</v>
      </c>
      <c r="N492" s="1">
        <f t="shared" si="57"/>
        <v>-0.87897906509893886</v>
      </c>
      <c r="O492" s="1">
        <f t="shared" si="58"/>
        <v>-0.84714654430742753</v>
      </c>
      <c r="P492">
        <f t="shared" si="59"/>
        <v>479</v>
      </c>
      <c r="Q492">
        <f t="shared" si="60"/>
        <v>482</v>
      </c>
      <c r="R492">
        <f t="shared" si="61"/>
        <v>511</v>
      </c>
      <c r="S492">
        <f t="shared" si="62"/>
        <v>1472</v>
      </c>
      <c r="T492">
        <f t="shared" si="63"/>
        <v>491</v>
      </c>
      <c r="U492" s="1" cm="1">
        <f t="array" ref="U492">MIN(ABS(M492:O492))</f>
        <v>0.84714654430742753</v>
      </c>
    </row>
    <row r="493" spans="1:21" x14ac:dyDescent="0.35">
      <c r="A493" t="s">
        <v>492</v>
      </c>
      <c r="B493" s="2">
        <v>8.1300000000000008</v>
      </c>
      <c r="C493" s="2">
        <v>0.71</v>
      </c>
      <c r="D493" s="2">
        <v>0.99</v>
      </c>
      <c r="E493" s="2">
        <v>1.05</v>
      </c>
      <c r="F493" s="2">
        <v>16.59</v>
      </c>
      <c r="G493">
        <v>-3</v>
      </c>
      <c r="H493">
        <v>1</v>
      </c>
      <c r="I493">
        <v>5</v>
      </c>
      <c r="J493">
        <v>0</v>
      </c>
      <c r="K493">
        <v>0</v>
      </c>
      <c r="L493">
        <v>2</v>
      </c>
      <c r="M493" s="1">
        <f t="shared" si="56"/>
        <v>-0.91266912669126699</v>
      </c>
      <c r="N493" s="1">
        <f t="shared" si="57"/>
        <v>-0.87822878228782286</v>
      </c>
      <c r="O493" s="1">
        <f t="shared" si="58"/>
        <v>-0.87084870848708484</v>
      </c>
      <c r="P493">
        <f t="shared" si="59"/>
        <v>480</v>
      </c>
      <c r="Q493">
        <f t="shared" si="60"/>
        <v>481</v>
      </c>
      <c r="R493">
        <f t="shared" si="61"/>
        <v>516</v>
      </c>
      <c r="S493">
        <f t="shared" si="62"/>
        <v>1477</v>
      </c>
      <c r="T493">
        <f t="shared" si="63"/>
        <v>492</v>
      </c>
      <c r="U493" s="1" cm="1">
        <f t="array" ref="U493">MIN(ABS(M493:O493))</f>
        <v>0.87084870848708484</v>
      </c>
    </row>
    <row r="494" spans="1:21" x14ac:dyDescent="0.35">
      <c r="A494" t="s">
        <v>513</v>
      </c>
      <c r="B494" s="2">
        <v>200.39</v>
      </c>
      <c r="C494" s="2">
        <v>6.88</v>
      </c>
      <c r="D494" s="2">
        <v>10.88</v>
      </c>
      <c r="E494" s="2">
        <v>68.19</v>
      </c>
      <c r="F494" s="2">
        <v>14.42</v>
      </c>
      <c r="G494">
        <v>1</v>
      </c>
      <c r="H494">
        <v>6</v>
      </c>
      <c r="I494">
        <v>10</v>
      </c>
      <c r="J494">
        <v>0</v>
      </c>
      <c r="K494">
        <v>1</v>
      </c>
      <c r="L494">
        <v>2</v>
      </c>
      <c r="M494" s="1">
        <f t="shared" si="56"/>
        <v>-0.96566694944857523</v>
      </c>
      <c r="N494" s="1">
        <f t="shared" si="57"/>
        <v>-0.9457058735465842</v>
      </c>
      <c r="O494" s="1">
        <f t="shared" si="58"/>
        <v>-0.65971355856080649</v>
      </c>
      <c r="P494">
        <f t="shared" si="59"/>
        <v>505</v>
      </c>
      <c r="Q494">
        <f t="shared" si="60"/>
        <v>502</v>
      </c>
      <c r="R494">
        <f t="shared" si="61"/>
        <v>470</v>
      </c>
      <c r="S494">
        <f t="shared" si="62"/>
        <v>1477</v>
      </c>
      <c r="T494">
        <f t="shared" si="63"/>
        <v>492</v>
      </c>
      <c r="U494" s="1" cm="1">
        <f t="array" ref="U494">MIN(ABS(M494:O494))</f>
        <v>0.65971355856080649</v>
      </c>
    </row>
    <row r="495" spans="1:21" x14ac:dyDescent="0.35">
      <c r="A495" t="s">
        <v>499</v>
      </c>
      <c r="B495" s="2">
        <v>247.21</v>
      </c>
      <c r="C495" s="2">
        <v>23.1</v>
      </c>
      <c r="D495" s="2">
        <v>22.31</v>
      </c>
      <c r="E495" s="2">
        <v>31.51</v>
      </c>
      <c r="F495" s="2">
        <v>13.3</v>
      </c>
      <c r="G495">
        <v>-3</v>
      </c>
      <c r="H495">
        <v>1</v>
      </c>
      <c r="I495">
        <v>5</v>
      </c>
      <c r="J495">
        <v>0</v>
      </c>
      <c r="K495">
        <v>0</v>
      </c>
      <c r="L495">
        <v>2</v>
      </c>
      <c r="M495" s="1">
        <f t="shared" si="56"/>
        <v>-0.90655717810768177</v>
      </c>
      <c r="N495" s="1">
        <f t="shared" si="57"/>
        <v>-0.90975284171352289</v>
      </c>
      <c r="O495" s="1">
        <f t="shared" si="58"/>
        <v>-0.87253751870879004</v>
      </c>
      <c r="P495">
        <f t="shared" si="59"/>
        <v>476</v>
      </c>
      <c r="Q495">
        <f t="shared" si="60"/>
        <v>488</v>
      </c>
      <c r="R495">
        <f t="shared" si="61"/>
        <v>518</v>
      </c>
      <c r="S495">
        <f t="shared" si="62"/>
        <v>1482</v>
      </c>
      <c r="T495">
        <f t="shared" si="63"/>
        <v>494</v>
      </c>
      <c r="U495" s="1" cm="1">
        <f t="array" ref="U495">MIN(ABS(M495:O495))</f>
        <v>0.87253751870879004</v>
      </c>
    </row>
    <row r="496" spans="1:21" x14ac:dyDescent="0.35">
      <c r="A496" t="s">
        <v>519</v>
      </c>
      <c r="B496" s="2">
        <v>31.17</v>
      </c>
      <c r="C496" s="2">
        <v>1.7</v>
      </c>
      <c r="D496" s="2">
        <v>1.01</v>
      </c>
      <c r="E496" s="2">
        <v>9.08</v>
      </c>
      <c r="F496" s="2">
        <v>14.06</v>
      </c>
      <c r="G496">
        <v>2</v>
      </c>
      <c r="H496">
        <v>10</v>
      </c>
      <c r="I496">
        <v>18</v>
      </c>
      <c r="J496">
        <v>1</v>
      </c>
      <c r="K496">
        <v>2</v>
      </c>
      <c r="L496">
        <v>4</v>
      </c>
      <c r="M496" s="1">
        <f t="shared" si="56"/>
        <v>-0.94546037856913701</v>
      </c>
      <c r="N496" s="1">
        <f t="shared" si="57"/>
        <v>-0.96759704844401673</v>
      </c>
      <c r="O496" s="1">
        <f t="shared" si="58"/>
        <v>-0.70869425729868463</v>
      </c>
      <c r="P496">
        <f t="shared" si="59"/>
        <v>495</v>
      </c>
      <c r="Q496">
        <f t="shared" si="60"/>
        <v>508</v>
      </c>
      <c r="R496">
        <f t="shared" si="61"/>
        <v>481</v>
      </c>
      <c r="S496">
        <f t="shared" si="62"/>
        <v>1484</v>
      </c>
      <c r="T496">
        <f t="shared" si="63"/>
        <v>495</v>
      </c>
      <c r="U496" s="1" cm="1">
        <f t="array" ref="U496">MIN(ABS(M496:O496))</f>
        <v>0.70869425729868463</v>
      </c>
    </row>
    <row r="497" spans="1:21" x14ac:dyDescent="0.35">
      <c r="A497" t="s">
        <v>507</v>
      </c>
      <c r="B497" s="2">
        <v>257.43</v>
      </c>
      <c r="C497" s="2">
        <v>12.32</v>
      </c>
      <c r="D497" s="2">
        <v>16.54</v>
      </c>
      <c r="E497" s="2">
        <v>59.31</v>
      </c>
      <c r="F497" s="2">
        <v>12.63</v>
      </c>
      <c r="G497">
        <v>2</v>
      </c>
      <c r="H497">
        <v>10</v>
      </c>
      <c r="I497">
        <v>18</v>
      </c>
      <c r="J497">
        <v>0</v>
      </c>
      <c r="K497">
        <v>2</v>
      </c>
      <c r="L497">
        <v>3</v>
      </c>
      <c r="M497" s="1">
        <f t="shared" si="56"/>
        <v>-0.95214232995377379</v>
      </c>
      <c r="N497" s="1">
        <f t="shared" si="57"/>
        <v>-0.93574952414248536</v>
      </c>
      <c r="O497" s="1">
        <f t="shared" si="58"/>
        <v>-0.76960727187973432</v>
      </c>
      <c r="P497">
        <f t="shared" si="59"/>
        <v>500</v>
      </c>
      <c r="Q497">
        <f t="shared" si="60"/>
        <v>496</v>
      </c>
      <c r="R497">
        <f t="shared" si="61"/>
        <v>491</v>
      </c>
      <c r="S497">
        <f t="shared" si="62"/>
        <v>1487</v>
      </c>
      <c r="T497">
        <f t="shared" si="63"/>
        <v>496</v>
      </c>
      <c r="U497" s="1" cm="1">
        <f t="array" ref="U497">MIN(ABS(M497:O497))</f>
        <v>0.76960727187973432</v>
      </c>
    </row>
    <row r="498" spans="1:21" x14ac:dyDescent="0.35">
      <c r="A498" t="s">
        <v>498</v>
      </c>
      <c r="B498" s="2">
        <v>633.33000000000004</v>
      </c>
      <c r="C498" s="2">
        <v>41.8</v>
      </c>
      <c r="D498" s="2">
        <v>60.63</v>
      </c>
      <c r="E498" s="2">
        <v>104.42</v>
      </c>
      <c r="F498" s="2">
        <v>10.050000000000001</v>
      </c>
      <c r="G498">
        <v>1</v>
      </c>
      <c r="H498">
        <v>2</v>
      </c>
      <c r="I498">
        <v>5</v>
      </c>
      <c r="J498">
        <v>0</v>
      </c>
      <c r="K498">
        <v>2</v>
      </c>
      <c r="L498">
        <v>4</v>
      </c>
      <c r="M498" s="1">
        <f t="shared" si="56"/>
        <v>-0.93399965262975071</v>
      </c>
      <c r="N498" s="1">
        <f t="shared" si="57"/>
        <v>-0.90426791719956423</v>
      </c>
      <c r="O498" s="1">
        <f t="shared" si="58"/>
        <v>-0.83512544802867383</v>
      </c>
      <c r="P498">
        <f t="shared" si="59"/>
        <v>493</v>
      </c>
      <c r="Q498">
        <f t="shared" si="60"/>
        <v>487</v>
      </c>
      <c r="R498">
        <f t="shared" si="61"/>
        <v>508</v>
      </c>
      <c r="S498">
        <f t="shared" si="62"/>
        <v>1488</v>
      </c>
      <c r="T498">
        <f t="shared" si="63"/>
        <v>497</v>
      </c>
      <c r="U498" s="1" cm="1">
        <f t="array" ref="U498">MIN(ABS(M498:O498))</f>
        <v>0.83512544802867383</v>
      </c>
    </row>
    <row r="499" spans="1:21" x14ac:dyDescent="0.35">
      <c r="A499" t="s">
        <v>516</v>
      </c>
      <c r="B499" s="2">
        <v>431.25</v>
      </c>
      <c r="C499" s="2">
        <v>14.26</v>
      </c>
      <c r="D499" s="2">
        <v>18.09</v>
      </c>
      <c r="E499" s="2">
        <v>131.93</v>
      </c>
      <c r="F499" s="2">
        <v>9.41</v>
      </c>
      <c r="G499">
        <v>2</v>
      </c>
      <c r="H499">
        <v>10</v>
      </c>
      <c r="I499">
        <v>18</v>
      </c>
      <c r="J499">
        <v>1</v>
      </c>
      <c r="K499">
        <v>5</v>
      </c>
      <c r="L499">
        <v>9</v>
      </c>
      <c r="M499" s="1">
        <f t="shared" si="56"/>
        <v>-0.96693333333333331</v>
      </c>
      <c r="N499" s="1">
        <f t="shared" si="57"/>
        <v>-0.95805217391304343</v>
      </c>
      <c r="O499" s="1">
        <f t="shared" si="58"/>
        <v>-0.69407536231884048</v>
      </c>
      <c r="P499">
        <f t="shared" si="59"/>
        <v>507</v>
      </c>
      <c r="Q499">
        <f t="shared" si="60"/>
        <v>505</v>
      </c>
      <c r="R499">
        <f t="shared" si="61"/>
        <v>477</v>
      </c>
      <c r="S499">
        <f t="shared" si="62"/>
        <v>1489</v>
      </c>
      <c r="T499">
        <f t="shared" si="63"/>
        <v>498</v>
      </c>
      <c r="U499" s="1" cm="1">
        <f t="array" ref="U499">MIN(ABS(M499:O499))</f>
        <v>0.69407536231884048</v>
      </c>
    </row>
    <row r="500" spans="1:21" x14ac:dyDescent="0.35">
      <c r="A500" t="s">
        <v>511</v>
      </c>
      <c r="B500" s="2">
        <v>164.84</v>
      </c>
      <c r="C500" s="2">
        <v>4.58</v>
      </c>
      <c r="D500" s="2">
        <v>9.48</v>
      </c>
      <c r="E500" s="2">
        <v>46.72</v>
      </c>
      <c r="F500" s="2">
        <v>6.04</v>
      </c>
      <c r="G500">
        <v>2</v>
      </c>
      <c r="H500">
        <v>10</v>
      </c>
      <c r="I500">
        <v>18</v>
      </c>
      <c r="J500">
        <v>1</v>
      </c>
      <c r="K500">
        <v>5</v>
      </c>
      <c r="L500">
        <v>9</v>
      </c>
      <c r="M500" s="1">
        <f t="shared" si="56"/>
        <v>-0.97221548167920413</v>
      </c>
      <c r="N500" s="1">
        <f t="shared" si="57"/>
        <v>-0.94248968696918223</v>
      </c>
      <c r="O500" s="1">
        <f t="shared" si="58"/>
        <v>-0.71657364717301619</v>
      </c>
      <c r="P500">
        <f t="shared" si="59"/>
        <v>508</v>
      </c>
      <c r="Q500">
        <f t="shared" si="60"/>
        <v>500</v>
      </c>
      <c r="R500">
        <f t="shared" si="61"/>
        <v>482</v>
      </c>
      <c r="S500">
        <f t="shared" si="62"/>
        <v>1490</v>
      </c>
      <c r="T500">
        <f t="shared" si="63"/>
        <v>499</v>
      </c>
      <c r="U500" s="1" cm="1">
        <f t="array" ref="U500">MIN(ABS(M500:O500))</f>
        <v>0.71657364717301619</v>
      </c>
    </row>
    <row r="501" spans="1:21" x14ac:dyDescent="0.35">
      <c r="A501" t="s">
        <v>500</v>
      </c>
      <c r="B501" s="2">
        <v>346.97</v>
      </c>
      <c r="C501" s="2">
        <v>28.22</v>
      </c>
      <c r="D501" s="2">
        <v>30.38</v>
      </c>
      <c r="E501" s="2">
        <v>43.39</v>
      </c>
      <c r="F501" s="2">
        <v>11.36</v>
      </c>
      <c r="G501">
        <v>0</v>
      </c>
      <c r="H501">
        <v>1</v>
      </c>
      <c r="I501">
        <v>5</v>
      </c>
      <c r="J501">
        <v>0</v>
      </c>
      <c r="K501">
        <v>1</v>
      </c>
      <c r="L501">
        <v>2</v>
      </c>
      <c r="M501" s="1">
        <f t="shared" si="56"/>
        <v>-0.91866731994120532</v>
      </c>
      <c r="N501" s="1">
        <f t="shared" si="57"/>
        <v>-0.91244199786725078</v>
      </c>
      <c r="O501" s="1">
        <f t="shared" si="58"/>
        <v>-0.87494596074588582</v>
      </c>
      <c r="P501">
        <f t="shared" si="59"/>
        <v>484</v>
      </c>
      <c r="Q501">
        <f t="shared" si="60"/>
        <v>489</v>
      </c>
      <c r="R501">
        <f t="shared" si="61"/>
        <v>519</v>
      </c>
      <c r="S501">
        <f t="shared" si="62"/>
        <v>1492</v>
      </c>
      <c r="T501">
        <f t="shared" si="63"/>
        <v>500</v>
      </c>
      <c r="U501" s="1" cm="1">
        <f t="array" ref="U501">MIN(ABS(M501:O501))</f>
        <v>0.87494596074588582</v>
      </c>
    </row>
    <row r="502" spans="1:21" x14ac:dyDescent="0.35">
      <c r="A502" t="s">
        <v>501</v>
      </c>
      <c r="B502" s="2">
        <v>9.6</v>
      </c>
      <c r="C502" s="2">
        <v>0.72</v>
      </c>
      <c r="D502" s="2">
        <v>0.8</v>
      </c>
      <c r="E502" s="2">
        <v>1.24</v>
      </c>
      <c r="F502" s="2">
        <v>14.96</v>
      </c>
      <c r="G502">
        <v>1</v>
      </c>
      <c r="H502">
        <v>4</v>
      </c>
      <c r="I502">
        <v>7</v>
      </c>
      <c r="J502">
        <v>0</v>
      </c>
      <c r="K502">
        <v>0</v>
      </c>
      <c r="L502">
        <v>2</v>
      </c>
      <c r="M502" s="1">
        <f t="shared" si="56"/>
        <v>-0.92500000000000004</v>
      </c>
      <c r="N502" s="1">
        <f t="shared" si="57"/>
        <v>-0.91666666666666663</v>
      </c>
      <c r="O502" s="1">
        <f t="shared" si="58"/>
        <v>-0.87083333333333335</v>
      </c>
      <c r="P502">
        <f t="shared" si="59"/>
        <v>487</v>
      </c>
      <c r="Q502">
        <f t="shared" si="60"/>
        <v>490</v>
      </c>
      <c r="R502">
        <f t="shared" si="61"/>
        <v>515</v>
      </c>
      <c r="S502">
        <f t="shared" si="62"/>
        <v>1492</v>
      </c>
      <c r="T502">
        <f t="shared" si="63"/>
        <v>500</v>
      </c>
      <c r="U502" s="1" cm="1">
        <f t="array" ref="U502">MIN(ABS(M502:O502))</f>
        <v>0.87083333333333335</v>
      </c>
    </row>
    <row r="503" spans="1:21" x14ac:dyDescent="0.35">
      <c r="A503" t="s">
        <v>506</v>
      </c>
      <c r="B503" s="2">
        <v>25.63</v>
      </c>
      <c r="C503" s="2">
        <v>1.31</v>
      </c>
      <c r="D503" s="2">
        <v>1.72</v>
      </c>
      <c r="E503" s="2">
        <v>5.07</v>
      </c>
      <c r="F503" s="2">
        <v>15.02</v>
      </c>
      <c r="G503">
        <v>-1</v>
      </c>
      <c r="H503">
        <v>1</v>
      </c>
      <c r="I503">
        <v>5</v>
      </c>
      <c r="J503">
        <v>0</v>
      </c>
      <c r="K503">
        <v>0</v>
      </c>
      <c r="L503">
        <v>2</v>
      </c>
      <c r="M503" s="1">
        <f t="shared" si="56"/>
        <v>-0.94888802184939525</v>
      </c>
      <c r="N503" s="1">
        <f t="shared" si="57"/>
        <v>-0.9328911431915724</v>
      </c>
      <c r="O503" s="1">
        <f t="shared" si="58"/>
        <v>-0.80218493952399528</v>
      </c>
      <c r="P503">
        <f t="shared" si="59"/>
        <v>497</v>
      </c>
      <c r="Q503">
        <f t="shared" si="60"/>
        <v>495</v>
      </c>
      <c r="R503">
        <f t="shared" si="61"/>
        <v>500</v>
      </c>
      <c r="S503">
        <f t="shared" si="62"/>
        <v>1492</v>
      </c>
      <c r="T503">
        <f t="shared" si="63"/>
        <v>500</v>
      </c>
      <c r="U503" s="1" cm="1">
        <f t="array" ref="U503">MIN(ABS(M503:O503))</f>
        <v>0.80218493952399528</v>
      </c>
    </row>
    <row r="504" spans="1:21" x14ac:dyDescent="0.35">
      <c r="A504" t="s">
        <v>552</v>
      </c>
      <c r="B504" s="2">
        <v>7.05</v>
      </c>
      <c r="C504" s="2">
        <v>0.04</v>
      </c>
      <c r="D504" s="2">
        <v>-0.93</v>
      </c>
      <c r="E504" s="2">
        <v>3.11</v>
      </c>
      <c r="F504" s="2">
        <v>16.39</v>
      </c>
      <c r="G504">
        <v>2</v>
      </c>
      <c r="H504">
        <v>7</v>
      </c>
      <c r="I504">
        <v>13</v>
      </c>
      <c r="J504">
        <v>0</v>
      </c>
      <c r="K504">
        <v>0</v>
      </c>
      <c r="L504">
        <v>2</v>
      </c>
      <c r="M504" s="1">
        <f t="shared" si="56"/>
        <v>-0.99432624113475176</v>
      </c>
      <c r="N504" s="1">
        <f t="shared" si="57"/>
        <v>-1.1319148936170214</v>
      </c>
      <c r="O504" s="1">
        <f t="shared" si="58"/>
        <v>-0.55886524822695038</v>
      </c>
      <c r="P504">
        <f t="shared" si="59"/>
        <v>518</v>
      </c>
      <c r="Q504">
        <f t="shared" si="60"/>
        <v>541</v>
      </c>
      <c r="R504">
        <f t="shared" si="61"/>
        <v>433</v>
      </c>
      <c r="S504">
        <f t="shared" si="62"/>
        <v>1492</v>
      </c>
      <c r="T504">
        <f t="shared" si="63"/>
        <v>500</v>
      </c>
      <c r="U504" s="1" cm="1">
        <f t="array" ref="U504">MIN(ABS(M504:O504))</f>
        <v>0.55886524822695038</v>
      </c>
    </row>
    <row r="505" spans="1:21" x14ac:dyDescent="0.35">
      <c r="A505" t="s">
        <v>509</v>
      </c>
      <c r="B505" s="2">
        <v>83.94</v>
      </c>
      <c r="C505" s="2">
        <v>5.73</v>
      </c>
      <c r="D505" s="2">
        <v>5.1100000000000003</v>
      </c>
      <c r="E505" s="2">
        <v>12.88</v>
      </c>
      <c r="F505" s="2">
        <v>13.62</v>
      </c>
      <c r="G505">
        <v>-3</v>
      </c>
      <c r="H505">
        <v>1</v>
      </c>
      <c r="I505">
        <v>5</v>
      </c>
      <c r="J505">
        <v>0</v>
      </c>
      <c r="K505">
        <v>0</v>
      </c>
      <c r="L505">
        <v>2</v>
      </c>
      <c r="M505" s="1">
        <f t="shared" si="56"/>
        <v>-0.93173695496783415</v>
      </c>
      <c r="N505" s="1">
        <f t="shared" si="57"/>
        <v>-0.93912318322611388</v>
      </c>
      <c r="O505" s="1">
        <f t="shared" si="58"/>
        <v>-0.84655706456993085</v>
      </c>
      <c r="P505">
        <f t="shared" si="59"/>
        <v>490</v>
      </c>
      <c r="Q505">
        <f t="shared" si="60"/>
        <v>498</v>
      </c>
      <c r="R505">
        <f t="shared" si="61"/>
        <v>510</v>
      </c>
      <c r="S505">
        <f t="shared" si="62"/>
        <v>1498</v>
      </c>
      <c r="T505">
        <f t="shared" si="63"/>
        <v>504</v>
      </c>
      <c r="U505" s="1" cm="1">
        <f t="array" ref="U505">MIN(ABS(M505:O505))</f>
        <v>0.84655706456993085</v>
      </c>
    </row>
    <row r="506" spans="1:21" x14ac:dyDescent="0.35">
      <c r="A506" t="s">
        <v>505</v>
      </c>
      <c r="B506" s="2">
        <v>171.72</v>
      </c>
      <c r="C506" s="2">
        <v>12.24</v>
      </c>
      <c r="D506" s="2">
        <v>12.01</v>
      </c>
      <c r="E506" s="2">
        <v>22.14</v>
      </c>
      <c r="F506" s="2">
        <v>14.17</v>
      </c>
      <c r="G506">
        <v>-3</v>
      </c>
      <c r="H506">
        <v>1</v>
      </c>
      <c r="I506">
        <v>5</v>
      </c>
      <c r="J506">
        <v>0</v>
      </c>
      <c r="K506">
        <v>1</v>
      </c>
      <c r="L506">
        <v>2</v>
      </c>
      <c r="M506" s="1">
        <f t="shared" si="56"/>
        <v>-0.92872117400419285</v>
      </c>
      <c r="N506" s="1">
        <f t="shared" si="57"/>
        <v>-0.93006056370836243</v>
      </c>
      <c r="O506" s="1">
        <f t="shared" si="58"/>
        <v>-0.87106918238993714</v>
      </c>
      <c r="P506">
        <f t="shared" si="59"/>
        <v>488</v>
      </c>
      <c r="Q506">
        <f t="shared" si="60"/>
        <v>494</v>
      </c>
      <c r="R506">
        <f t="shared" si="61"/>
        <v>517</v>
      </c>
      <c r="S506">
        <f t="shared" si="62"/>
        <v>1499</v>
      </c>
      <c r="T506">
        <f t="shared" si="63"/>
        <v>505</v>
      </c>
      <c r="U506" s="1" cm="1">
        <f t="array" ref="U506">MIN(ABS(M506:O506))</f>
        <v>0.87106918238993714</v>
      </c>
    </row>
    <row r="507" spans="1:21" x14ac:dyDescent="0.35">
      <c r="A507" t="s">
        <v>550</v>
      </c>
      <c r="B507" s="2">
        <v>20.010000000000002</v>
      </c>
      <c r="C507" s="2">
        <v>1.02</v>
      </c>
      <c r="D507" s="2">
        <v>-2.1800000000000002</v>
      </c>
      <c r="E507" s="2">
        <v>7.3</v>
      </c>
      <c r="F507" s="2">
        <v>19.38</v>
      </c>
      <c r="G507">
        <v>2</v>
      </c>
      <c r="H507">
        <v>10</v>
      </c>
      <c r="I507">
        <v>18</v>
      </c>
      <c r="J507">
        <v>0</v>
      </c>
      <c r="K507">
        <v>1</v>
      </c>
      <c r="L507">
        <v>2</v>
      </c>
      <c r="M507" s="1">
        <f t="shared" si="56"/>
        <v>-0.94902548725637181</v>
      </c>
      <c r="N507" s="1">
        <f t="shared" si="57"/>
        <v>-1.1089455272363817</v>
      </c>
      <c r="O507" s="1">
        <f t="shared" si="58"/>
        <v>-0.63518240879560217</v>
      </c>
      <c r="P507">
        <f t="shared" si="59"/>
        <v>498</v>
      </c>
      <c r="Q507">
        <f t="shared" si="60"/>
        <v>539</v>
      </c>
      <c r="R507">
        <f t="shared" si="61"/>
        <v>463</v>
      </c>
      <c r="S507">
        <f t="shared" si="62"/>
        <v>1500</v>
      </c>
      <c r="T507">
        <f t="shared" si="63"/>
        <v>506</v>
      </c>
      <c r="U507" s="1" cm="1">
        <f t="array" ref="U507">MIN(ABS(M507:O507))</f>
        <v>0.63518240879560217</v>
      </c>
    </row>
    <row r="508" spans="1:21" x14ac:dyDescent="0.35">
      <c r="A508" t="s">
        <v>504</v>
      </c>
      <c r="B508" s="2">
        <v>33.409999999999997</v>
      </c>
      <c r="C508" s="2">
        <v>2.76</v>
      </c>
      <c r="D508" s="2">
        <v>2.4900000000000002</v>
      </c>
      <c r="E508" s="2">
        <v>1.9</v>
      </c>
      <c r="F508" s="2">
        <v>15.5</v>
      </c>
      <c r="G508">
        <v>1</v>
      </c>
      <c r="H508">
        <v>2</v>
      </c>
      <c r="I508">
        <v>5</v>
      </c>
      <c r="J508">
        <v>0</v>
      </c>
      <c r="K508">
        <v>0</v>
      </c>
      <c r="L508">
        <v>2</v>
      </c>
      <c r="M508" s="1">
        <f t="shared" si="56"/>
        <v>-0.91739000299311579</v>
      </c>
      <c r="N508" s="1">
        <f t="shared" si="57"/>
        <v>-0.92547141574378933</v>
      </c>
      <c r="O508" s="1">
        <f t="shared" si="58"/>
        <v>-0.94313079916192755</v>
      </c>
      <c r="P508">
        <f t="shared" si="59"/>
        <v>482</v>
      </c>
      <c r="Q508">
        <f t="shared" si="60"/>
        <v>493</v>
      </c>
      <c r="R508">
        <f t="shared" si="61"/>
        <v>531</v>
      </c>
      <c r="S508">
        <f t="shared" si="62"/>
        <v>1506</v>
      </c>
      <c r="T508">
        <f t="shared" si="63"/>
        <v>507</v>
      </c>
      <c r="U508" s="1" cm="1">
        <f t="array" ref="U508">MIN(ABS(M508:O508))</f>
        <v>0.91739000299311579</v>
      </c>
    </row>
    <row r="509" spans="1:21" x14ac:dyDescent="0.35">
      <c r="A509" t="s">
        <v>558</v>
      </c>
      <c r="B509" s="2">
        <v>8.69</v>
      </c>
      <c r="C509" s="2">
        <v>-1.06</v>
      </c>
      <c r="D509" s="2">
        <v>-2.42</v>
      </c>
      <c r="E509" s="2">
        <v>4.13</v>
      </c>
      <c r="F509" s="2">
        <v>16.71</v>
      </c>
      <c r="G509">
        <v>2</v>
      </c>
      <c r="H509">
        <v>7</v>
      </c>
      <c r="I509">
        <v>13</v>
      </c>
      <c r="J509">
        <v>0</v>
      </c>
      <c r="K509">
        <v>0</v>
      </c>
      <c r="L509">
        <v>2</v>
      </c>
      <c r="M509" s="1">
        <f t="shared" si="56"/>
        <v>-1.1219792865362486</v>
      </c>
      <c r="N509" s="1">
        <f t="shared" si="57"/>
        <v>-1.2784810126582278</v>
      </c>
      <c r="O509" s="1">
        <f t="shared" si="58"/>
        <v>-0.52474108170310707</v>
      </c>
      <c r="P509">
        <f t="shared" si="59"/>
        <v>544</v>
      </c>
      <c r="Q509">
        <f t="shared" si="60"/>
        <v>548</v>
      </c>
      <c r="R509">
        <f t="shared" si="61"/>
        <v>421</v>
      </c>
      <c r="S509">
        <f t="shared" si="62"/>
        <v>1513</v>
      </c>
      <c r="T509">
        <f t="shared" si="63"/>
        <v>508</v>
      </c>
      <c r="U509" s="1" cm="1">
        <f t="array" ref="U509">MIN(ABS(M509:O509))</f>
        <v>0.52474108170310707</v>
      </c>
    </row>
    <row r="510" spans="1:21" x14ac:dyDescent="0.35">
      <c r="A510" t="s">
        <v>533</v>
      </c>
      <c r="B510" s="2">
        <v>79.67</v>
      </c>
      <c r="C510" s="2">
        <v>0.7</v>
      </c>
      <c r="D510" s="2">
        <v>-1.6</v>
      </c>
      <c r="E510" s="2">
        <v>22.47</v>
      </c>
      <c r="F510" s="2">
        <v>15.61</v>
      </c>
      <c r="G510">
        <v>2</v>
      </c>
      <c r="H510">
        <v>10</v>
      </c>
      <c r="I510">
        <v>18</v>
      </c>
      <c r="J510">
        <v>0</v>
      </c>
      <c r="K510">
        <v>0</v>
      </c>
      <c r="L510">
        <v>2</v>
      </c>
      <c r="M510" s="1">
        <f t="shared" si="56"/>
        <v>-0.99121375674657963</v>
      </c>
      <c r="N510" s="1">
        <f t="shared" si="57"/>
        <v>-1.0200828417221037</v>
      </c>
      <c r="O510" s="1">
        <f t="shared" si="58"/>
        <v>-0.71796159156520645</v>
      </c>
      <c r="P510">
        <f t="shared" si="59"/>
        <v>516</v>
      </c>
      <c r="Q510">
        <f t="shared" si="60"/>
        <v>522</v>
      </c>
      <c r="R510">
        <f t="shared" si="61"/>
        <v>484</v>
      </c>
      <c r="S510">
        <f t="shared" si="62"/>
        <v>1522</v>
      </c>
      <c r="T510">
        <f t="shared" si="63"/>
        <v>509</v>
      </c>
      <c r="U510" s="1" cm="1">
        <f t="array" ref="U510">MIN(ABS(M510:O510))</f>
        <v>0.71796159156520645</v>
      </c>
    </row>
    <row r="511" spans="1:21" x14ac:dyDescent="0.35">
      <c r="A511" t="s">
        <v>520</v>
      </c>
      <c r="B511" s="2">
        <v>334.87</v>
      </c>
      <c r="C511" s="2">
        <v>17.260000000000002</v>
      </c>
      <c r="D511" s="2">
        <v>10.5</v>
      </c>
      <c r="E511" s="2">
        <v>40.99</v>
      </c>
      <c r="F511" s="2">
        <v>16.100000000000001</v>
      </c>
      <c r="G511">
        <v>2</v>
      </c>
      <c r="H511">
        <v>9</v>
      </c>
      <c r="I511">
        <v>15</v>
      </c>
      <c r="J511">
        <v>0</v>
      </c>
      <c r="K511">
        <v>1</v>
      </c>
      <c r="L511">
        <v>2</v>
      </c>
      <c r="M511" s="1">
        <f t="shared" si="56"/>
        <v>-0.94845761041598231</v>
      </c>
      <c r="N511" s="1">
        <f t="shared" si="57"/>
        <v>-0.96864454863081195</v>
      </c>
      <c r="O511" s="1">
        <f t="shared" si="58"/>
        <v>-0.8775942903216174</v>
      </c>
      <c r="P511">
        <f t="shared" si="59"/>
        <v>496</v>
      </c>
      <c r="Q511">
        <f t="shared" si="60"/>
        <v>509</v>
      </c>
      <c r="R511">
        <f t="shared" si="61"/>
        <v>520</v>
      </c>
      <c r="S511">
        <f t="shared" si="62"/>
        <v>1525</v>
      </c>
      <c r="T511">
        <f t="shared" si="63"/>
        <v>510</v>
      </c>
      <c r="U511" s="1" cm="1">
        <f t="array" ref="U511">MIN(ABS(M511:O511))</f>
        <v>0.8775942903216174</v>
      </c>
    </row>
    <row r="512" spans="1:21" x14ac:dyDescent="0.35">
      <c r="A512" t="s">
        <v>510</v>
      </c>
      <c r="B512" s="2">
        <v>84.87</v>
      </c>
      <c r="C512" s="2">
        <v>5.64</v>
      </c>
      <c r="D512" s="2">
        <v>4.91</v>
      </c>
      <c r="E512" s="2">
        <v>3.03</v>
      </c>
      <c r="F512" s="2">
        <v>14.35</v>
      </c>
      <c r="G512">
        <v>2</v>
      </c>
      <c r="H512">
        <v>10</v>
      </c>
      <c r="I512">
        <v>18</v>
      </c>
      <c r="J512">
        <v>0</v>
      </c>
      <c r="K512">
        <v>0</v>
      </c>
      <c r="L512">
        <v>2</v>
      </c>
      <c r="M512" s="1">
        <f t="shared" si="56"/>
        <v>-0.9335454224107459</v>
      </c>
      <c r="N512" s="1">
        <f t="shared" si="57"/>
        <v>-0.94214681277247558</v>
      </c>
      <c r="O512" s="1">
        <f t="shared" si="58"/>
        <v>-0.96429833863556025</v>
      </c>
      <c r="P512">
        <f t="shared" si="59"/>
        <v>492</v>
      </c>
      <c r="Q512">
        <f t="shared" si="60"/>
        <v>499</v>
      </c>
      <c r="R512">
        <f t="shared" si="61"/>
        <v>536</v>
      </c>
      <c r="S512">
        <f t="shared" si="62"/>
        <v>1527</v>
      </c>
      <c r="T512">
        <f t="shared" si="63"/>
        <v>511</v>
      </c>
      <c r="U512" s="1" cm="1">
        <f t="array" ref="U512">MIN(ABS(M512:O512))</f>
        <v>0.9335454224107459</v>
      </c>
    </row>
    <row r="513" spans="1:21" x14ac:dyDescent="0.35">
      <c r="A513" t="s">
        <v>512</v>
      </c>
      <c r="B513" s="2">
        <v>173.5</v>
      </c>
      <c r="C513" s="2">
        <v>8.82</v>
      </c>
      <c r="D513" s="2">
        <v>9.4499999999999993</v>
      </c>
      <c r="E513" s="2">
        <v>13.65</v>
      </c>
      <c r="F513" s="2">
        <v>14.3</v>
      </c>
      <c r="G513">
        <v>0</v>
      </c>
      <c r="H513">
        <v>1</v>
      </c>
      <c r="I513">
        <v>5</v>
      </c>
      <c r="J513">
        <v>0</v>
      </c>
      <c r="K513">
        <v>0</v>
      </c>
      <c r="L513">
        <v>2</v>
      </c>
      <c r="M513" s="1">
        <f t="shared" si="56"/>
        <v>-0.94916426512968299</v>
      </c>
      <c r="N513" s="1">
        <f t="shared" si="57"/>
        <v>-0.94553314121037468</v>
      </c>
      <c r="O513" s="1">
        <f t="shared" si="58"/>
        <v>-0.92132564841498554</v>
      </c>
      <c r="P513">
        <f t="shared" si="59"/>
        <v>499</v>
      </c>
      <c r="Q513">
        <f t="shared" si="60"/>
        <v>501</v>
      </c>
      <c r="R513">
        <f t="shared" si="61"/>
        <v>527</v>
      </c>
      <c r="S513">
        <f t="shared" si="62"/>
        <v>1527</v>
      </c>
      <c r="T513">
        <f t="shared" si="63"/>
        <v>511</v>
      </c>
      <c r="U513" s="1" cm="1">
        <f t="array" ref="U513">MIN(ABS(M513:O513))</f>
        <v>0.92132564841498554</v>
      </c>
    </row>
    <row r="514" spans="1:21" x14ac:dyDescent="0.35">
      <c r="A514" t="s">
        <v>514</v>
      </c>
      <c r="B514" s="2">
        <v>69.73</v>
      </c>
      <c r="C514" s="2">
        <v>2.86</v>
      </c>
      <c r="D514" s="2">
        <v>3.45</v>
      </c>
      <c r="E514" s="2">
        <v>6.96</v>
      </c>
      <c r="F514" s="2">
        <v>14.91</v>
      </c>
      <c r="G514">
        <v>1</v>
      </c>
      <c r="H514">
        <v>4</v>
      </c>
      <c r="I514">
        <v>8</v>
      </c>
      <c r="J514">
        <v>0</v>
      </c>
      <c r="K514">
        <v>0</v>
      </c>
      <c r="L514">
        <v>2</v>
      </c>
      <c r="M514" s="1">
        <f t="shared" ref="M514:M564" si="64">C514/$B514-1</f>
        <v>-0.95898465509823605</v>
      </c>
      <c r="N514" s="1">
        <f t="shared" ref="N514:N564" si="65">D514/$B514-1</f>
        <v>-0.95052344758353646</v>
      </c>
      <c r="O514" s="1">
        <f t="shared" ref="O514:O564" si="66">E514/$B514-1</f>
        <v>-0.90018643338591708</v>
      </c>
      <c r="P514">
        <f t="shared" ref="P514:P564" si="67">_xlfn.RANK.EQ(M514,M$2:M$564)</f>
        <v>503</v>
      </c>
      <c r="Q514">
        <f t="shared" ref="Q514:Q564" si="68">_xlfn.RANK.EQ(N514,N$2:N$564)</f>
        <v>503</v>
      </c>
      <c r="R514">
        <f t="shared" ref="R514:R564" si="69">_xlfn.RANK.EQ(O514,O$2:O$564)</f>
        <v>522</v>
      </c>
      <c r="S514">
        <f t="shared" ref="S514:S577" si="70">SUM(P514:R514)</f>
        <v>1528</v>
      </c>
      <c r="T514">
        <f t="shared" ref="T514:T577" si="71">_xlfn.RANK.EQ(S514,S$2:S$564, 1)</f>
        <v>513</v>
      </c>
      <c r="U514" s="1" cm="1">
        <f t="array" ref="U514">MIN(ABS(M514:O514))</f>
        <v>0.90018643338591708</v>
      </c>
    </row>
    <row r="515" spans="1:21" x14ac:dyDescent="0.35">
      <c r="A515" t="s">
        <v>518</v>
      </c>
      <c r="B515" s="2">
        <v>747.55</v>
      </c>
      <c r="C515" s="2">
        <v>17.82</v>
      </c>
      <c r="D515" s="2">
        <v>24.92</v>
      </c>
      <c r="E515" s="2">
        <v>100.23</v>
      </c>
      <c r="F515" s="2">
        <v>11.97</v>
      </c>
      <c r="G515">
        <v>2</v>
      </c>
      <c r="H515">
        <v>10</v>
      </c>
      <c r="I515">
        <v>18</v>
      </c>
      <c r="J515">
        <v>0</v>
      </c>
      <c r="K515">
        <v>0</v>
      </c>
      <c r="L515">
        <v>2</v>
      </c>
      <c r="M515" s="1">
        <f t="shared" si="64"/>
        <v>-0.97616212962343651</v>
      </c>
      <c r="N515" s="1">
        <f t="shared" si="65"/>
        <v>-0.96666443716139394</v>
      </c>
      <c r="O515" s="1">
        <f t="shared" si="66"/>
        <v>-0.86592201190555818</v>
      </c>
      <c r="P515">
        <f t="shared" si="67"/>
        <v>510</v>
      </c>
      <c r="Q515">
        <f t="shared" si="68"/>
        <v>507</v>
      </c>
      <c r="R515">
        <f t="shared" si="69"/>
        <v>513</v>
      </c>
      <c r="S515">
        <f t="shared" si="70"/>
        <v>1530</v>
      </c>
      <c r="T515">
        <f t="shared" si="71"/>
        <v>514</v>
      </c>
      <c r="U515" s="1" cm="1">
        <f t="array" ref="U515">MIN(ABS(M515:O515))</f>
        <v>0.86592201190555818</v>
      </c>
    </row>
    <row r="516" spans="1:21" x14ac:dyDescent="0.35">
      <c r="A516" t="s">
        <v>559</v>
      </c>
      <c r="B516" s="2">
        <v>23.88</v>
      </c>
      <c r="C516" s="2">
        <v>-13</v>
      </c>
      <c r="D516" s="2">
        <v>-9.5500000000000007</v>
      </c>
      <c r="E516" s="2">
        <v>10.78</v>
      </c>
      <c r="F516" s="2">
        <v>20.16</v>
      </c>
      <c r="G516">
        <v>-3</v>
      </c>
      <c r="H516">
        <v>1</v>
      </c>
      <c r="I516">
        <v>5</v>
      </c>
      <c r="J516">
        <v>0</v>
      </c>
      <c r="K516">
        <v>0</v>
      </c>
      <c r="L516">
        <v>2</v>
      </c>
      <c r="M516" s="1">
        <f t="shared" si="64"/>
        <v>-1.5443886097152428</v>
      </c>
      <c r="N516" s="1">
        <f t="shared" si="65"/>
        <v>-1.3999162479061977</v>
      </c>
      <c r="O516" s="1">
        <f t="shared" si="66"/>
        <v>-0.54857621440536009</v>
      </c>
      <c r="P516">
        <f t="shared" si="67"/>
        <v>554</v>
      </c>
      <c r="Q516">
        <f t="shared" si="68"/>
        <v>549</v>
      </c>
      <c r="R516">
        <f t="shared" si="69"/>
        <v>430</v>
      </c>
      <c r="S516">
        <f t="shared" si="70"/>
        <v>1533</v>
      </c>
      <c r="T516">
        <f t="shared" si="71"/>
        <v>515</v>
      </c>
      <c r="U516" s="1" cm="1">
        <f t="array" ref="U516">MIN(ABS(M516:O516))</f>
        <v>0.54857621440536009</v>
      </c>
    </row>
    <row r="517" spans="1:21" x14ac:dyDescent="0.35">
      <c r="A517" t="s">
        <v>515</v>
      </c>
      <c r="B517" s="2">
        <v>11.4</v>
      </c>
      <c r="C517" s="2">
        <v>0.47</v>
      </c>
      <c r="D517" s="2">
        <v>0.49</v>
      </c>
      <c r="E517" s="2">
        <v>0.77</v>
      </c>
      <c r="F517" s="2">
        <v>13.74</v>
      </c>
      <c r="G517">
        <v>-2</v>
      </c>
      <c r="H517">
        <v>1</v>
      </c>
      <c r="I517">
        <v>5</v>
      </c>
      <c r="J517">
        <v>0</v>
      </c>
      <c r="K517">
        <v>0</v>
      </c>
      <c r="L517">
        <v>2</v>
      </c>
      <c r="M517" s="1">
        <f t="shared" si="64"/>
        <v>-0.95877192982456139</v>
      </c>
      <c r="N517" s="1">
        <f t="shared" si="65"/>
        <v>-0.9570175438596491</v>
      </c>
      <c r="O517" s="1">
        <f t="shared" si="66"/>
        <v>-0.93245614035087721</v>
      </c>
      <c r="P517">
        <f t="shared" si="67"/>
        <v>502</v>
      </c>
      <c r="Q517">
        <f t="shared" si="68"/>
        <v>504</v>
      </c>
      <c r="R517">
        <f t="shared" si="69"/>
        <v>529</v>
      </c>
      <c r="S517">
        <f t="shared" si="70"/>
        <v>1535</v>
      </c>
      <c r="T517">
        <f t="shared" si="71"/>
        <v>516</v>
      </c>
      <c r="U517" s="1" cm="1">
        <f t="array" ref="U517">MIN(ABS(M517:O517))</f>
        <v>0.93245614035087721</v>
      </c>
    </row>
    <row r="518" spans="1:21" x14ac:dyDescent="0.35">
      <c r="A518" t="s">
        <v>573</v>
      </c>
      <c r="B518" s="2">
        <v>3.95</v>
      </c>
      <c r="C518" s="2">
        <v>-8.49</v>
      </c>
      <c r="D518" s="2">
        <v>-15.13</v>
      </c>
      <c r="E518" s="2">
        <v>2.06</v>
      </c>
      <c r="F518" s="2">
        <v>9.09</v>
      </c>
      <c r="G518">
        <v>2</v>
      </c>
      <c r="H518">
        <v>10</v>
      </c>
      <c r="I518">
        <v>18</v>
      </c>
      <c r="J518">
        <v>1</v>
      </c>
      <c r="K518">
        <v>5</v>
      </c>
      <c r="L518">
        <v>9</v>
      </c>
      <c r="M518" s="1">
        <f t="shared" si="64"/>
        <v>-3.1493670886075948</v>
      </c>
      <c r="N518" s="1">
        <f t="shared" si="65"/>
        <v>-4.830379746835443</v>
      </c>
      <c r="O518" s="1">
        <f t="shared" si="66"/>
        <v>-0.47848101265822784</v>
      </c>
      <c r="P518">
        <f t="shared" si="67"/>
        <v>562</v>
      </c>
      <c r="Q518">
        <f t="shared" si="68"/>
        <v>563</v>
      </c>
      <c r="R518">
        <f t="shared" si="69"/>
        <v>410</v>
      </c>
      <c r="S518">
        <f t="shared" si="70"/>
        <v>1535</v>
      </c>
      <c r="T518">
        <f t="shared" si="71"/>
        <v>516</v>
      </c>
      <c r="U518" s="1" cm="1">
        <f t="array" ref="U518">MIN(ABS(M518:O518))</f>
        <v>0.47848101265822784</v>
      </c>
    </row>
    <row r="519" spans="1:21" x14ac:dyDescent="0.35">
      <c r="A519" t="s">
        <v>517</v>
      </c>
      <c r="B519" s="2">
        <v>64.7</v>
      </c>
      <c r="C519" s="2">
        <v>2.4300000000000002</v>
      </c>
      <c r="D519" s="2">
        <v>2.44</v>
      </c>
      <c r="E519" s="2">
        <v>3.42</v>
      </c>
      <c r="F519" s="2">
        <v>15.92</v>
      </c>
      <c r="G519">
        <v>-3</v>
      </c>
      <c r="H519">
        <v>1</v>
      </c>
      <c r="I519">
        <v>5</v>
      </c>
      <c r="J519">
        <v>0</v>
      </c>
      <c r="K519">
        <v>0</v>
      </c>
      <c r="L519">
        <v>2</v>
      </c>
      <c r="M519" s="1">
        <f t="shared" si="64"/>
        <v>-0.96244204018547141</v>
      </c>
      <c r="N519" s="1">
        <f t="shared" si="65"/>
        <v>-0.96228748068006187</v>
      </c>
      <c r="O519" s="1">
        <f t="shared" si="66"/>
        <v>-0.94714064914992269</v>
      </c>
      <c r="P519">
        <f t="shared" si="67"/>
        <v>504</v>
      </c>
      <c r="Q519">
        <f t="shared" si="68"/>
        <v>506</v>
      </c>
      <c r="R519">
        <f t="shared" si="69"/>
        <v>532</v>
      </c>
      <c r="S519">
        <f t="shared" si="70"/>
        <v>1542</v>
      </c>
      <c r="T519">
        <f t="shared" si="71"/>
        <v>518</v>
      </c>
      <c r="U519" s="1" cm="1">
        <f t="array" ref="U519">MIN(ABS(M519:O519))</f>
        <v>0.94714064914992269</v>
      </c>
    </row>
    <row r="520" spans="1:21" x14ac:dyDescent="0.35">
      <c r="A520" t="s">
        <v>521</v>
      </c>
      <c r="B520" s="2">
        <v>16.77</v>
      </c>
      <c r="C520" s="2">
        <v>0.33</v>
      </c>
      <c r="D520" s="2">
        <v>0.48</v>
      </c>
      <c r="E520" s="2">
        <v>1.54</v>
      </c>
      <c r="F520" s="2">
        <v>17.61</v>
      </c>
      <c r="G520">
        <v>-3</v>
      </c>
      <c r="H520">
        <v>1</v>
      </c>
      <c r="I520">
        <v>5</v>
      </c>
      <c r="J520">
        <v>0</v>
      </c>
      <c r="K520">
        <v>0</v>
      </c>
      <c r="L520">
        <v>2</v>
      </c>
      <c r="M520" s="1">
        <f t="shared" si="64"/>
        <v>-0.98032200357781751</v>
      </c>
      <c r="N520" s="1">
        <f t="shared" si="65"/>
        <v>-0.97137745974955281</v>
      </c>
      <c r="O520" s="1">
        <f t="shared" si="66"/>
        <v>-0.90816935002981514</v>
      </c>
      <c r="P520">
        <f t="shared" si="67"/>
        <v>513</v>
      </c>
      <c r="Q520">
        <f t="shared" si="68"/>
        <v>510</v>
      </c>
      <c r="R520">
        <f t="shared" si="69"/>
        <v>524</v>
      </c>
      <c r="S520">
        <f t="shared" si="70"/>
        <v>1547</v>
      </c>
      <c r="T520">
        <f t="shared" si="71"/>
        <v>519</v>
      </c>
      <c r="U520" s="1" cm="1">
        <f t="array" ref="U520">MIN(ABS(M520:O520))</f>
        <v>0.90816935002981514</v>
      </c>
    </row>
    <row r="521" spans="1:21" x14ac:dyDescent="0.35">
      <c r="A521" t="s">
        <v>539</v>
      </c>
      <c r="B521" s="2">
        <v>324.33999999999997</v>
      </c>
      <c r="C521" s="2">
        <v>1.5</v>
      </c>
      <c r="D521" s="2">
        <v>-12.66</v>
      </c>
      <c r="E521" s="2">
        <v>58.98</v>
      </c>
      <c r="F521" s="2">
        <v>15.77</v>
      </c>
      <c r="G521">
        <v>2</v>
      </c>
      <c r="H521">
        <v>10</v>
      </c>
      <c r="I521">
        <v>18</v>
      </c>
      <c r="J521">
        <v>0</v>
      </c>
      <c r="K521">
        <v>0</v>
      </c>
      <c r="L521">
        <v>2</v>
      </c>
      <c r="M521" s="1">
        <f t="shared" si="64"/>
        <v>-0.99537522353086272</v>
      </c>
      <c r="N521" s="1">
        <f t="shared" si="65"/>
        <v>-1.039033113399519</v>
      </c>
      <c r="O521" s="1">
        <f t="shared" si="66"/>
        <v>-0.81815378923352033</v>
      </c>
      <c r="P521">
        <f t="shared" si="67"/>
        <v>519</v>
      </c>
      <c r="Q521">
        <f t="shared" si="68"/>
        <v>528</v>
      </c>
      <c r="R521">
        <f t="shared" si="69"/>
        <v>506</v>
      </c>
      <c r="S521">
        <f t="shared" si="70"/>
        <v>1553</v>
      </c>
      <c r="T521">
        <f t="shared" si="71"/>
        <v>520</v>
      </c>
      <c r="U521" s="1" cm="1">
        <f t="array" ref="U521">MIN(ABS(M521:O521))</f>
        <v>0.81815378923352033</v>
      </c>
    </row>
    <row r="522" spans="1:21" x14ac:dyDescent="0.35">
      <c r="A522" t="s">
        <v>548</v>
      </c>
      <c r="B522" s="2">
        <v>131.79</v>
      </c>
      <c r="C522" s="2">
        <v>-4.8899999999999997</v>
      </c>
      <c r="D522" s="2">
        <v>-10.48</v>
      </c>
      <c r="E522" s="2">
        <v>34.42</v>
      </c>
      <c r="F522" s="2">
        <v>10.23</v>
      </c>
      <c r="G522">
        <v>2</v>
      </c>
      <c r="H522">
        <v>10</v>
      </c>
      <c r="I522">
        <v>18</v>
      </c>
      <c r="J522">
        <v>1</v>
      </c>
      <c r="K522">
        <v>5</v>
      </c>
      <c r="L522">
        <v>9</v>
      </c>
      <c r="M522" s="1">
        <f t="shared" si="64"/>
        <v>-1.0371044844070112</v>
      </c>
      <c r="N522" s="1">
        <f t="shared" si="65"/>
        <v>-1.0795204491994841</v>
      </c>
      <c r="O522" s="1">
        <f t="shared" si="66"/>
        <v>-0.73882692161772512</v>
      </c>
      <c r="P522">
        <f t="shared" si="67"/>
        <v>534</v>
      </c>
      <c r="Q522">
        <f t="shared" si="68"/>
        <v>537</v>
      </c>
      <c r="R522">
        <f t="shared" si="69"/>
        <v>488</v>
      </c>
      <c r="S522">
        <f t="shared" si="70"/>
        <v>1559</v>
      </c>
      <c r="T522">
        <f t="shared" si="71"/>
        <v>521</v>
      </c>
      <c r="U522" s="1" cm="1">
        <f t="array" ref="U522">MIN(ABS(M522:O522))</f>
        <v>0.73882692161772512</v>
      </c>
    </row>
    <row r="523" spans="1:21" x14ac:dyDescent="0.35">
      <c r="A523" t="s">
        <v>525</v>
      </c>
      <c r="B523" s="2">
        <v>221.32</v>
      </c>
      <c r="C523" s="2">
        <v>3.27</v>
      </c>
      <c r="D523" s="2">
        <v>1.99</v>
      </c>
      <c r="E523" s="2">
        <v>11.4</v>
      </c>
      <c r="F523" s="2">
        <v>14</v>
      </c>
      <c r="G523">
        <v>2</v>
      </c>
      <c r="H523">
        <v>10</v>
      </c>
      <c r="I523">
        <v>18</v>
      </c>
      <c r="J523">
        <v>0</v>
      </c>
      <c r="K523">
        <v>2</v>
      </c>
      <c r="L523">
        <v>3</v>
      </c>
      <c r="M523" s="1">
        <f t="shared" si="64"/>
        <v>-0.98522501355503345</v>
      </c>
      <c r="N523" s="1">
        <f t="shared" si="65"/>
        <v>-0.99100849448761974</v>
      </c>
      <c r="O523" s="1">
        <f t="shared" si="66"/>
        <v>-0.94849087294415324</v>
      </c>
      <c r="P523">
        <f t="shared" si="67"/>
        <v>514</v>
      </c>
      <c r="Q523">
        <f t="shared" si="68"/>
        <v>514</v>
      </c>
      <c r="R523">
        <f t="shared" si="69"/>
        <v>533</v>
      </c>
      <c r="S523">
        <f t="shared" si="70"/>
        <v>1561</v>
      </c>
      <c r="T523">
        <f t="shared" si="71"/>
        <v>522</v>
      </c>
      <c r="U523" s="1" cm="1">
        <f t="array" ref="U523">MIN(ABS(M523:O523))</f>
        <v>0.94849087294415324</v>
      </c>
    </row>
    <row r="524" spans="1:21" x14ac:dyDescent="0.35">
      <c r="A524" t="s">
        <v>522</v>
      </c>
      <c r="B524" s="2">
        <v>27.85</v>
      </c>
      <c r="C524" s="2">
        <v>0.55000000000000004</v>
      </c>
      <c r="D524" s="2">
        <v>0.65</v>
      </c>
      <c r="E524" s="2">
        <v>0.8</v>
      </c>
      <c r="F524" s="2">
        <v>17.16</v>
      </c>
      <c r="G524">
        <v>-3</v>
      </c>
      <c r="H524">
        <v>1</v>
      </c>
      <c r="I524">
        <v>5</v>
      </c>
      <c r="J524">
        <v>0</v>
      </c>
      <c r="K524">
        <v>0</v>
      </c>
      <c r="L524">
        <v>2</v>
      </c>
      <c r="M524" s="1">
        <f t="shared" si="64"/>
        <v>-0.98025134649910228</v>
      </c>
      <c r="N524" s="1">
        <f t="shared" si="65"/>
        <v>-0.97666068222621183</v>
      </c>
      <c r="O524" s="1">
        <f t="shared" si="66"/>
        <v>-0.97127468581687615</v>
      </c>
      <c r="P524">
        <f t="shared" si="67"/>
        <v>512</v>
      </c>
      <c r="Q524">
        <f t="shared" si="68"/>
        <v>511</v>
      </c>
      <c r="R524">
        <f t="shared" si="69"/>
        <v>539</v>
      </c>
      <c r="S524">
        <f t="shared" si="70"/>
        <v>1562</v>
      </c>
      <c r="T524">
        <f t="shared" si="71"/>
        <v>523</v>
      </c>
      <c r="U524" s="1" cm="1">
        <f t="array" ref="U524">MIN(ABS(M524:O524))</f>
        <v>0.97127468581687615</v>
      </c>
    </row>
    <row r="525" spans="1:21" x14ac:dyDescent="0.35">
      <c r="A525" t="s">
        <v>526</v>
      </c>
      <c r="B525" s="2">
        <v>77.150000000000006</v>
      </c>
      <c r="C525" s="2">
        <v>0.69</v>
      </c>
      <c r="D525" s="2">
        <v>0.54</v>
      </c>
      <c r="E525" s="2">
        <v>2.83</v>
      </c>
      <c r="F525" s="2">
        <v>9.73</v>
      </c>
      <c r="G525">
        <v>2</v>
      </c>
      <c r="H525">
        <v>7</v>
      </c>
      <c r="I525">
        <v>12</v>
      </c>
      <c r="J525">
        <v>1</v>
      </c>
      <c r="K525">
        <v>5</v>
      </c>
      <c r="L525">
        <v>9</v>
      </c>
      <c r="M525" s="1">
        <f t="shared" si="64"/>
        <v>-0.99105638366817883</v>
      </c>
      <c r="N525" s="1">
        <f t="shared" si="65"/>
        <v>-0.99300064808814004</v>
      </c>
      <c r="O525" s="1">
        <f t="shared" si="66"/>
        <v>-0.96331821127673367</v>
      </c>
      <c r="P525">
        <f t="shared" si="67"/>
        <v>515</v>
      </c>
      <c r="Q525">
        <f t="shared" si="68"/>
        <v>515</v>
      </c>
      <c r="R525">
        <f t="shared" si="69"/>
        <v>534</v>
      </c>
      <c r="S525">
        <f t="shared" si="70"/>
        <v>1564</v>
      </c>
      <c r="T525">
        <f t="shared" si="71"/>
        <v>524</v>
      </c>
      <c r="U525" s="1" cm="1">
        <f t="array" ref="U525">MIN(ABS(M525:O525))</f>
        <v>0.96331821127673367</v>
      </c>
    </row>
    <row r="526" spans="1:21" x14ac:dyDescent="0.35">
      <c r="A526" t="s">
        <v>524</v>
      </c>
      <c r="B526" s="2">
        <v>117.14</v>
      </c>
      <c r="C526" s="2">
        <v>2.42</v>
      </c>
      <c r="D526" s="2">
        <v>2.2999999999999998</v>
      </c>
      <c r="E526" s="2">
        <v>3.27</v>
      </c>
      <c r="F526" s="2">
        <v>11.22</v>
      </c>
      <c r="G526">
        <v>2</v>
      </c>
      <c r="H526">
        <v>10</v>
      </c>
      <c r="I526">
        <v>18</v>
      </c>
      <c r="J526">
        <v>0</v>
      </c>
      <c r="K526">
        <v>1</v>
      </c>
      <c r="L526">
        <v>2</v>
      </c>
      <c r="M526" s="1">
        <f t="shared" si="64"/>
        <v>-0.97934095953559841</v>
      </c>
      <c r="N526" s="1">
        <f t="shared" si="65"/>
        <v>-0.98036537476523822</v>
      </c>
      <c r="O526" s="1">
        <f t="shared" si="66"/>
        <v>-0.97208468499231693</v>
      </c>
      <c r="P526">
        <f t="shared" si="67"/>
        <v>511</v>
      </c>
      <c r="Q526">
        <f t="shared" si="68"/>
        <v>513</v>
      </c>
      <c r="R526">
        <f t="shared" si="69"/>
        <v>541</v>
      </c>
      <c r="S526">
        <f t="shared" si="70"/>
        <v>1565</v>
      </c>
      <c r="T526">
        <f t="shared" si="71"/>
        <v>525</v>
      </c>
      <c r="U526" s="1" cm="1">
        <f t="array" ref="U526">MIN(ABS(M526:O526))</f>
        <v>0.97208468499231693</v>
      </c>
    </row>
    <row r="527" spans="1:21" x14ac:dyDescent="0.35">
      <c r="A527" t="s">
        <v>534</v>
      </c>
      <c r="B527" s="2">
        <v>24.52</v>
      </c>
      <c r="C527" s="2">
        <v>-0.91</v>
      </c>
      <c r="D527" s="2">
        <v>-0.6</v>
      </c>
      <c r="E527" s="2">
        <v>3.21</v>
      </c>
      <c r="F527" s="2">
        <v>16.13</v>
      </c>
      <c r="G527">
        <v>-2</v>
      </c>
      <c r="H527">
        <v>1</v>
      </c>
      <c r="I527">
        <v>5</v>
      </c>
      <c r="J527">
        <v>0</v>
      </c>
      <c r="K527">
        <v>0</v>
      </c>
      <c r="L527">
        <v>2</v>
      </c>
      <c r="M527" s="1">
        <f t="shared" si="64"/>
        <v>-1.0371125611745513</v>
      </c>
      <c r="N527" s="1">
        <f t="shared" si="65"/>
        <v>-1.0244698205546492</v>
      </c>
      <c r="O527" s="1">
        <f t="shared" si="66"/>
        <v>-0.86908646003262646</v>
      </c>
      <c r="P527">
        <f t="shared" si="67"/>
        <v>535</v>
      </c>
      <c r="Q527">
        <f t="shared" si="68"/>
        <v>523</v>
      </c>
      <c r="R527">
        <f t="shared" si="69"/>
        <v>514</v>
      </c>
      <c r="S527">
        <f t="shared" si="70"/>
        <v>1572</v>
      </c>
      <c r="T527">
        <f t="shared" si="71"/>
        <v>526</v>
      </c>
      <c r="U527" s="1" cm="1">
        <f t="array" ref="U527">MIN(ABS(M527:O527))</f>
        <v>0.86908646003262646</v>
      </c>
    </row>
    <row r="528" spans="1:21" x14ac:dyDescent="0.35">
      <c r="A528" t="s">
        <v>537</v>
      </c>
      <c r="B528" s="2">
        <v>169.79</v>
      </c>
      <c r="C528" s="2">
        <v>-0.25</v>
      </c>
      <c r="D528" s="2">
        <v>-5.36</v>
      </c>
      <c r="E528" s="2">
        <v>15.08</v>
      </c>
      <c r="F528" s="2">
        <v>15.3</v>
      </c>
      <c r="G528">
        <v>2</v>
      </c>
      <c r="H528">
        <v>10</v>
      </c>
      <c r="I528">
        <v>18</v>
      </c>
      <c r="J528">
        <v>0</v>
      </c>
      <c r="K528">
        <v>1</v>
      </c>
      <c r="L528">
        <v>2</v>
      </c>
      <c r="M528" s="1">
        <f t="shared" si="64"/>
        <v>-1.0014724070911125</v>
      </c>
      <c r="N528" s="1">
        <f t="shared" si="65"/>
        <v>-1.0315684080334531</v>
      </c>
      <c r="O528" s="1">
        <f t="shared" si="66"/>
        <v>-0.91118440426409097</v>
      </c>
      <c r="P528">
        <f t="shared" si="67"/>
        <v>520</v>
      </c>
      <c r="Q528">
        <f t="shared" si="68"/>
        <v>526</v>
      </c>
      <c r="R528">
        <f t="shared" si="69"/>
        <v>526</v>
      </c>
      <c r="S528">
        <f t="shared" si="70"/>
        <v>1572</v>
      </c>
      <c r="T528">
        <f t="shared" si="71"/>
        <v>526</v>
      </c>
      <c r="U528" s="1" cm="1">
        <f t="array" ref="U528">MIN(ABS(M528:O528))</f>
        <v>0.91118440426409097</v>
      </c>
    </row>
    <row r="529" spans="1:21" x14ac:dyDescent="0.35">
      <c r="A529" t="s">
        <v>527</v>
      </c>
      <c r="B529" s="2">
        <v>77.010000000000005</v>
      </c>
      <c r="C529" s="2">
        <v>-0.18</v>
      </c>
      <c r="D529" s="2">
        <v>0.25</v>
      </c>
      <c r="E529" s="2">
        <v>2.73</v>
      </c>
      <c r="F529" s="2">
        <v>15.78</v>
      </c>
      <c r="G529">
        <v>-3</v>
      </c>
      <c r="H529">
        <v>1</v>
      </c>
      <c r="I529">
        <v>5</v>
      </c>
      <c r="J529">
        <v>0</v>
      </c>
      <c r="K529">
        <v>0</v>
      </c>
      <c r="L529">
        <v>2</v>
      </c>
      <c r="M529" s="1">
        <f t="shared" si="64"/>
        <v>-1.0023373587845734</v>
      </c>
      <c r="N529" s="1">
        <f t="shared" si="65"/>
        <v>-0.99675366835475909</v>
      </c>
      <c r="O529" s="1">
        <f t="shared" si="66"/>
        <v>-0.96455005843396957</v>
      </c>
      <c r="P529">
        <f t="shared" si="67"/>
        <v>522</v>
      </c>
      <c r="Q529">
        <f t="shared" si="68"/>
        <v>516</v>
      </c>
      <c r="R529">
        <f t="shared" si="69"/>
        <v>537</v>
      </c>
      <c r="S529">
        <f t="shared" si="70"/>
        <v>1575</v>
      </c>
      <c r="T529">
        <f t="shared" si="71"/>
        <v>528</v>
      </c>
      <c r="U529" s="1" cm="1">
        <f t="array" ref="U529">MIN(ABS(M529:O529))</f>
        <v>0.96455005843396957</v>
      </c>
    </row>
    <row r="530" spans="1:21" x14ac:dyDescent="0.35">
      <c r="A530" t="s">
        <v>546</v>
      </c>
      <c r="B530" s="2">
        <v>231.99</v>
      </c>
      <c r="C530" s="2">
        <v>-3.98</v>
      </c>
      <c r="D530" s="2">
        <v>-16.03</v>
      </c>
      <c r="E530" s="2">
        <v>35.01</v>
      </c>
      <c r="F530" s="2">
        <v>16.53</v>
      </c>
      <c r="G530">
        <v>2</v>
      </c>
      <c r="H530">
        <v>10</v>
      </c>
      <c r="I530">
        <v>18</v>
      </c>
      <c r="J530">
        <v>1</v>
      </c>
      <c r="K530">
        <v>3</v>
      </c>
      <c r="L530">
        <v>6</v>
      </c>
      <c r="M530" s="1">
        <f t="shared" si="64"/>
        <v>-1.017155911892754</v>
      </c>
      <c r="N530" s="1">
        <f t="shared" si="65"/>
        <v>-1.0690978059399112</v>
      </c>
      <c r="O530" s="1">
        <f t="shared" si="66"/>
        <v>-0.84908832277253332</v>
      </c>
      <c r="P530">
        <f t="shared" si="67"/>
        <v>528</v>
      </c>
      <c r="Q530">
        <f t="shared" si="68"/>
        <v>535</v>
      </c>
      <c r="R530">
        <f t="shared" si="69"/>
        <v>512</v>
      </c>
      <c r="S530">
        <f t="shared" si="70"/>
        <v>1575</v>
      </c>
      <c r="T530">
        <f t="shared" si="71"/>
        <v>528</v>
      </c>
      <c r="U530" s="1" cm="1">
        <f t="array" ref="U530">MIN(ABS(M530:O530))</f>
        <v>0.84908832277253332</v>
      </c>
    </row>
    <row r="531" spans="1:21" x14ac:dyDescent="0.35">
      <c r="A531" t="s">
        <v>553</v>
      </c>
      <c r="B531" s="2">
        <v>45.82</v>
      </c>
      <c r="C531" s="2">
        <v>-3.63</v>
      </c>
      <c r="D531" s="2">
        <v>-7.37</v>
      </c>
      <c r="E531" s="2">
        <v>9.48</v>
      </c>
      <c r="F531" s="2">
        <v>15.77</v>
      </c>
      <c r="G531">
        <v>2</v>
      </c>
      <c r="H531">
        <v>10</v>
      </c>
      <c r="I531">
        <v>18</v>
      </c>
      <c r="J531">
        <v>0</v>
      </c>
      <c r="K531">
        <v>1</v>
      </c>
      <c r="L531">
        <v>2</v>
      </c>
      <c r="M531" s="1">
        <f t="shared" si="64"/>
        <v>-1.0792230467044959</v>
      </c>
      <c r="N531" s="1">
        <f t="shared" si="65"/>
        <v>-1.1608467917939764</v>
      </c>
      <c r="O531" s="1">
        <f t="shared" si="66"/>
        <v>-0.7931034482758621</v>
      </c>
      <c r="P531">
        <f t="shared" si="67"/>
        <v>539</v>
      </c>
      <c r="Q531">
        <f t="shared" si="68"/>
        <v>542</v>
      </c>
      <c r="R531">
        <f t="shared" si="69"/>
        <v>496</v>
      </c>
      <c r="S531">
        <f t="shared" si="70"/>
        <v>1577</v>
      </c>
      <c r="T531">
        <f t="shared" si="71"/>
        <v>530</v>
      </c>
      <c r="U531" s="1" cm="1">
        <f t="array" ref="U531">MIN(ABS(M531:O531))</f>
        <v>0.7931034482758621</v>
      </c>
    </row>
    <row r="532" spans="1:21" x14ac:dyDescent="0.35">
      <c r="A532" t="s">
        <v>540</v>
      </c>
      <c r="B532" s="2">
        <v>253.38</v>
      </c>
      <c r="C532" s="2">
        <v>-2.37</v>
      </c>
      <c r="D532" s="2">
        <v>-11.08</v>
      </c>
      <c r="E532" s="2">
        <v>16.2</v>
      </c>
      <c r="F532" s="2">
        <v>16.809999999999999</v>
      </c>
      <c r="G532">
        <v>2</v>
      </c>
      <c r="H532">
        <v>10</v>
      </c>
      <c r="I532">
        <v>18</v>
      </c>
      <c r="J532">
        <v>0</v>
      </c>
      <c r="K532">
        <v>2</v>
      </c>
      <c r="L532">
        <v>3</v>
      </c>
      <c r="M532" s="1">
        <f t="shared" si="64"/>
        <v>-1.009353540137343</v>
      </c>
      <c r="N532" s="1">
        <f t="shared" si="65"/>
        <v>-1.0437287868024312</v>
      </c>
      <c r="O532" s="1">
        <f t="shared" si="66"/>
        <v>-0.93606440918778122</v>
      </c>
      <c r="P532">
        <f t="shared" si="67"/>
        <v>526</v>
      </c>
      <c r="Q532">
        <f t="shared" si="68"/>
        <v>529</v>
      </c>
      <c r="R532">
        <f t="shared" si="69"/>
        <v>530</v>
      </c>
      <c r="S532">
        <f t="shared" si="70"/>
        <v>1585</v>
      </c>
      <c r="T532">
        <f t="shared" si="71"/>
        <v>531</v>
      </c>
      <c r="U532" s="1" cm="1">
        <f t="array" ref="U532">MIN(ABS(M532:O532))</f>
        <v>0.93606440918778122</v>
      </c>
    </row>
    <row r="533" spans="1:21" x14ac:dyDescent="0.35">
      <c r="A533" t="s">
        <v>531</v>
      </c>
      <c r="B533" s="2">
        <v>15.86</v>
      </c>
      <c r="C533" s="2">
        <v>-0.04</v>
      </c>
      <c r="D533" s="2">
        <v>-0.09</v>
      </c>
      <c r="E533" s="2">
        <v>0.42</v>
      </c>
      <c r="F533" s="2">
        <v>24.19</v>
      </c>
      <c r="G533">
        <v>0</v>
      </c>
      <c r="H533">
        <v>2</v>
      </c>
      <c r="I533">
        <v>5</v>
      </c>
      <c r="J533">
        <v>-2</v>
      </c>
      <c r="K533">
        <v>0</v>
      </c>
      <c r="L533">
        <v>2</v>
      </c>
      <c r="M533" s="1">
        <f t="shared" si="64"/>
        <v>-1.0025220680958387</v>
      </c>
      <c r="N533" s="1">
        <f t="shared" si="65"/>
        <v>-1.0056746532156369</v>
      </c>
      <c r="O533" s="1">
        <f t="shared" si="66"/>
        <v>-0.97351828499369486</v>
      </c>
      <c r="P533">
        <f t="shared" si="67"/>
        <v>523</v>
      </c>
      <c r="Q533">
        <f t="shared" si="68"/>
        <v>520</v>
      </c>
      <c r="R533">
        <f t="shared" si="69"/>
        <v>543</v>
      </c>
      <c r="S533">
        <f t="shared" si="70"/>
        <v>1586</v>
      </c>
      <c r="T533">
        <f t="shared" si="71"/>
        <v>532</v>
      </c>
      <c r="U533" s="1" cm="1">
        <f t="array" ref="U533">MIN(ABS(M533:O533))</f>
        <v>0.97351828499369486</v>
      </c>
    </row>
    <row r="534" spans="1:21" x14ac:dyDescent="0.35">
      <c r="A534" t="s">
        <v>532</v>
      </c>
      <c r="B534" s="2">
        <v>16.45</v>
      </c>
      <c r="C534" s="2">
        <v>-0.21</v>
      </c>
      <c r="D534" s="2">
        <v>-0.11</v>
      </c>
      <c r="E534" s="2">
        <v>0.56000000000000005</v>
      </c>
      <c r="F534" s="2">
        <v>14.1</v>
      </c>
      <c r="G534">
        <v>-3</v>
      </c>
      <c r="H534">
        <v>1</v>
      </c>
      <c r="I534">
        <v>5</v>
      </c>
      <c r="J534">
        <v>1</v>
      </c>
      <c r="K534">
        <v>5</v>
      </c>
      <c r="L534">
        <v>9</v>
      </c>
      <c r="M534" s="1">
        <f t="shared" si="64"/>
        <v>-1.0127659574468084</v>
      </c>
      <c r="N534" s="1">
        <f t="shared" si="65"/>
        <v>-1.0066869300911854</v>
      </c>
      <c r="O534" s="1">
        <f t="shared" si="66"/>
        <v>-0.96595744680851059</v>
      </c>
      <c r="P534">
        <f t="shared" si="67"/>
        <v>527</v>
      </c>
      <c r="Q534">
        <f t="shared" si="68"/>
        <v>521</v>
      </c>
      <c r="R534">
        <f t="shared" si="69"/>
        <v>538</v>
      </c>
      <c r="S534">
        <f t="shared" si="70"/>
        <v>1586</v>
      </c>
      <c r="T534">
        <f t="shared" si="71"/>
        <v>532</v>
      </c>
      <c r="U534" s="1" cm="1">
        <f t="array" ref="U534">MIN(ABS(M534:O534))</f>
        <v>0.96595744680851059</v>
      </c>
    </row>
    <row r="535" spans="1:21" x14ac:dyDescent="0.35">
      <c r="A535" t="s">
        <v>528</v>
      </c>
      <c r="B535" s="2">
        <v>56.57</v>
      </c>
      <c r="C535" s="2">
        <v>-0.09</v>
      </c>
      <c r="D535" s="2">
        <v>-0.15</v>
      </c>
      <c r="E535" s="2">
        <v>-0.42</v>
      </c>
      <c r="F535" s="2">
        <v>14.45</v>
      </c>
      <c r="G535">
        <v>2</v>
      </c>
      <c r="H535">
        <v>10</v>
      </c>
      <c r="I535">
        <v>18</v>
      </c>
      <c r="J535">
        <v>0</v>
      </c>
      <c r="K535">
        <v>0</v>
      </c>
      <c r="L535">
        <v>2</v>
      </c>
      <c r="M535" s="1">
        <f t="shared" si="64"/>
        <v>-1.0015909492663957</v>
      </c>
      <c r="N535" s="1">
        <f t="shared" si="65"/>
        <v>-1.0026515821106594</v>
      </c>
      <c r="O535" s="1">
        <f t="shared" si="66"/>
        <v>-1.0074244299098463</v>
      </c>
      <c r="P535">
        <f t="shared" si="67"/>
        <v>521</v>
      </c>
      <c r="Q535">
        <f t="shared" si="68"/>
        <v>517</v>
      </c>
      <c r="R535">
        <f t="shared" si="69"/>
        <v>550</v>
      </c>
      <c r="S535">
        <f t="shared" si="70"/>
        <v>1588</v>
      </c>
      <c r="T535">
        <f t="shared" si="71"/>
        <v>534</v>
      </c>
      <c r="U535" s="1" cm="1">
        <f t="array" ref="U535">MIN(ABS(M535:O535))</f>
        <v>1.0015909492663957</v>
      </c>
    </row>
    <row r="536" spans="1:21" x14ac:dyDescent="0.35">
      <c r="A536" t="s">
        <v>529</v>
      </c>
      <c r="B536" s="2">
        <v>16.09</v>
      </c>
      <c r="C536" s="2">
        <v>-0.06</v>
      </c>
      <c r="D536" s="2">
        <v>-0.05</v>
      </c>
      <c r="E536" s="2">
        <v>0</v>
      </c>
      <c r="F536" s="2">
        <v>26.88</v>
      </c>
      <c r="G536">
        <v>-3</v>
      </c>
      <c r="H536">
        <v>1</v>
      </c>
      <c r="I536">
        <v>5</v>
      </c>
      <c r="J536">
        <v>-2</v>
      </c>
      <c r="K536">
        <v>0</v>
      </c>
      <c r="L536">
        <v>2</v>
      </c>
      <c r="M536" s="1">
        <f t="shared" si="64"/>
        <v>-1.0037290242386576</v>
      </c>
      <c r="N536" s="1">
        <f t="shared" si="65"/>
        <v>-1.0031075201988813</v>
      </c>
      <c r="O536" s="1">
        <f t="shared" si="66"/>
        <v>-1</v>
      </c>
      <c r="P536">
        <f t="shared" si="67"/>
        <v>524</v>
      </c>
      <c r="Q536">
        <f t="shared" si="68"/>
        <v>518</v>
      </c>
      <c r="R536">
        <f t="shared" si="69"/>
        <v>546</v>
      </c>
      <c r="S536">
        <f t="shared" si="70"/>
        <v>1588</v>
      </c>
      <c r="T536">
        <f t="shared" si="71"/>
        <v>534</v>
      </c>
      <c r="U536" s="1" cm="1">
        <f t="array" ref="U536">MIN(ABS(M536:O536))</f>
        <v>1</v>
      </c>
    </row>
    <row r="537" spans="1:21" x14ac:dyDescent="0.35">
      <c r="A537" t="s">
        <v>556</v>
      </c>
      <c r="B537" s="2">
        <v>51.06</v>
      </c>
      <c r="C537" s="2">
        <v>-6.52</v>
      </c>
      <c r="D537" s="2">
        <v>-13.14</v>
      </c>
      <c r="E537" s="2">
        <v>10.42</v>
      </c>
      <c r="F537" s="2">
        <v>12.05</v>
      </c>
      <c r="G537">
        <v>2</v>
      </c>
      <c r="H537">
        <v>10</v>
      </c>
      <c r="I537">
        <v>18</v>
      </c>
      <c r="J537">
        <v>1</v>
      </c>
      <c r="K537">
        <v>5</v>
      </c>
      <c r="L537">
        <v>9</v>
      </c>
      <c r="M537" s="1">
        <f t="shared" si="64"/>
        <v>-1.127692910301606</v>
      </c>
      <c r="N537" s="1">
        <f t="shared" si="65"/>
        <v>-1.2573443008225618</v>
      </c>
      <c r="O537" s="1">
        <f t="shared" si="66"/>
        <v>-0.79592636114375248</v>
      </c>
      <c r="P537">
        <f t="shared" si="67"/>
        <v>545</v>
      </c>
      <c r="Q537">
        <f t="shared" si="68"/>
        <v>546</v>
      </c>
      <c r="R537">
        <f t="shared" si="69"/>
        <v>497</v>
      </c>
      <c r="S537">
        <f t="shared" si="70"/>
        <v>1588</v>
      </c>
      <c r="T537">
        <f t="shared" si="71"/>
        <v>534</v>
      </c>
      <c r="U537" s="1" cm="1">
        <f t="array" ref="U537">MIN(ABS(M537:O537))</f>
        <v>0.79592636114375248</v>
      </c>
    </row>
    <row r="538" spans="1:21" x14ac:dyDescent="0.35">
      <c r="A538" t="s">
        <v>530</v>
      </c>
      <c r="B538" s="2">
        <v>333.14</v>
      </c>
      <c r="C538" s="2">
        <v>-1.31</v>
      </c>
      <c r="D538" s="2">
        <v>-1.1200000000000001</v>
      </c>
      <c r="E538" s="2">
        <v>-0.62</v>
      </c>
      <c r="F538" s="2">
        <v>17.14</v>
      </c>
      <c r="G538">
        <v>-3</v>
      </c>
      <c r="H538">
        <v>1</v>
      </c>
      <c r="I538">
        <v>5</v>
      </c>
      <c r="J538">
        <v>0</v>
      </c>
      <c r="K538">
        <v>0</v>
      </c>
      <c r="L538">
        <v>2</v>
      </c>
      <c r="M538" s="1">
        <f t="shared" si="64"/>
        <v>-1.0039322807228193</v>
      </c>
      <c r="N538" s="1">
        <f t="shared" si="65"/>
        <v>-1.0033619499309601</v>
      </c>
      <c r="O538" s="1">
        <f t="shared" si="66"/>
        <v>-1.0018610794260672</v>
      </c>
      <c r="P538">
        <f t="shared" si="67"/>
        <v>525</v>
      </c>
      <c r="Q538">
        <f t="shared" si="68"/>
        <v>519</v>
      </c>
      <c r="R538">
        <f t="shared" si="69"/>
        <v>547</v>
      </c>
      <c r="S538">
        <f t="shared" si="70"/>
        <v>1591</v>
      </c>
      <c r="T538">
        <f t="shared" si="71"/>
        <v>537</v>
      </c>
      <c r="U538" s="1" cm="1">
        <f t="array" ref="U538">MIN(ABS(M538:O538))</f>
        <v>1.0018610794260672</v>
      </c>
    </row>
    <row r="539" spans="1:21" x14ac:dyDescent="0.35">
      <c r="A539" t="s">
        <v>565</v>
      </c>
      <c r="B539" s="2">
        <v>5.12</v>
      </c>
      <c r="C539" s="2">
        <v>-3.29</v>
      </c>
      <c r="D539" s="2">
        <v>-2.5299999999999998</v>
      </c>
      <c r="E539" s="2">
        <v>1.54</v>
      </c>
      <c r="F539" s="2">
        <v>17.14</v>
      </c>
      <c r="G539">
        <v>-3</v>
      </c>
      <c r="H539">
        <v>1</v>
      </c>
      <c r="I539">
        <v>5</v>
      </c>
      <c r="J539">
        <v>0</v>
      </c>
      <c r="K539">
        <v>0</v>
      </c>
      <c r="L539">
        <v>2</v>
      </c>
      <c r="M539" s="1">
        <f t="shared" si="64"/>
        <v>-1.642578125</v>
      </c>
      <c r="N539" s="1">
        <f t="shared" si="65"/>
        <v>-1.494140625</v>
      </c>
      <c r="O539" s="1">
        <f t="shared" si="66"/>
        <v>-0.69921875</v>
      </c>
      <c r="P539">
        <f t="shared" si="67"/>
        <v>558</v>
      </c>
      <c r="Q539">
        <f t="shared" si="68"/>
        <v>555</v>
      </c>
      <c r="R539">
        <f t="shared" si="69"/>
        <v>478</v>
      </c>
      <c r="S539">
        <f t="shared" si="70"/>
        <v>1591</v>
      </c>
      <c r="T539">
        <f t="shared" si="71"/>
        <v>537</v>
      </c>
      <c r="U539" s="1" cm="1">
        <f t="array" ref="U539">MIN(ABS(M539:O539))</f>
        <v>0.69921875</v>
      </c>
    </row>
    <row r="540" spans="1:21" x14ac:dyDescent="0.35">
      <c r="A540" t="s">
        <v>536</v>
      </c>
      <c r="B540" s="2">
        <v>16.29</v>
      </c>
      <c r="C540" s="2">
        <v>-0.45</v>
      </c>
      <c r="D540" s="2">
        <v>-0.48</v>
      </c>
      <c r="E540" s="2">
        <v>0.46</v>
      </c>
      <c r="F540" s="2">
        <v>14.11</v>
      </c>
      <c r="G540">
        <v>0</v>
      </c>
      <c r="H540">
        <v>1</v>
      </c>
      <c r="I540">
        <v>5</v>
      </c>
      <c r="J540">
        <v>1</v>
      </c>
      <c r="K540">
        <v>5</v>
      </c>
      <c r="L540">
        <v>9</v>
      </c>
      <c r="M540" s="1">
        <f t="shared" si="64"/>
        <v>-1.0276243093922652</v>
      </c>
      <c r="N540" s="1">
        <f t="shared" si="65"/>
        <v>-1.0294659300184161</v>
      </c>
      <c r="O540" s="1">
        <f t="shared" si="66"/>
        <v>-0.97176181706568443</v>
      </c>
      <c r="P540">
        <f t="shared" si="67"/>
        <v>530</v>
      </c>
      <c r="Q540">
        <f t="shared" si="68"/>
        <v>525</v>
      </c>
      <c r="R540">
        <f t="shared" si="69"/>
        <v>540</v>
      </c>
      <c r="S540">
        <f t="shared" si="70"/>
        <v>1595</v>
      </c>
      <c r="T540">
        <f t="shared" si="71"/>
        <v>539</v>
      </c>
      <c r="U540" s="1" cm="1">
        <f t="array" ref="U540">MIN(ABS(M540:O540))</f>
        <v>0.97176181706568443</v>
      </c>
    </row>
    <row r="541" spans="1:21" x14ac:dyDescent="0.35">
      <c r="A541" t="s">
        <v>543</v>
      </c>
      <c r="B541" s="2">
        <v>229.52</v>
      </c>
      <c r="C541" s="2">
        <v>-20.94</v>
      </c>
      <c r="D541" s="2">
        <v>-11.77</v>
      </c>
      <c r="E541" s="2">
        <v>25.77</v>
      </c>
      <c r="F541" s="2">
        <v>19.48</v>
      </c>
      <c r="G541">
        <v>-3</v>
      </c>
      <c r="H541">
        <v>1</v>
      </c>
      <c r="I541">
        <v>5</v>
      </c>
      <c r="J541">
        <v>-1</v>
      </c>
      <c r="K541">
        <v>0</v>
      </c>
      <c r="L541">
        <v>2</v>
      </c>
      <c r="M541" s="1">
        <f t="shared" si="64"/>
        <v>-1.0912338794004879</v>
      </c>
      <c r="N541" s="1">
        <f t="shared" si="65"/>
        <v>-1.051280934123388</v>
      </c>
      <c r="O541" s="1">
        <f t="shared" si="66"/>
        <v>-0.88772220285813874</v>
      </c>
      <c r="P541">
        <f t="shared" si="67"/>
        <v>543</v>
      </c>
      <c r="Q541">
        <f t="shared" si="68"/>
        <v>532</v>
      </c>
      <c r="R541">
        <f t="shared" si="69"/>
        <v>521</v>
      </c>
      <c r="S541">
        <f t="shared" si="70"/>
        <v>1596</v>
      </c>
      <c r="T541">
        <f t="shared" si="71"/>
        <v>540</v>
      </c>
      <c r="U541" s="1" cm="1">
        <f t="array" ref="U541">MIN(ABS(M541:O541))</f>
        <v>0.88772220285813874</v>
      </c>
    </row>
    <row r="542" spans="1:21" x14ac:dyDescent="0.35">
      <c r="A542" t="s">
        <v>542</v>
      </c>
      <c r="B542" s="2">
        <v>44.33</v>
      </c>
      <c r="C542" s="2">
        <v>-2.78</v>
      </c>
      <c r="D542" s="2">
        <v>-2.0099999999999998</v>
      </c>
      <c r="E542" s="2">
        <v>3.07</v>
      </c>
      <c r="F542" s="2">
        <v>18.170000000000002</v>
      </c>
      <c r="G542">
        <v>-3</v>
      </c>
      <c r="H542">
        <v>1</v>
      </c>
      <c r="I542">
        <v>5</v>
      </c>
      <c r="J542">
        <v>0</v>
      </c>
      <c r="K542">
        <v>0</v>
      </c>
      <c r="L542">
        <v>2</v>
      </c>
      <c r="M542" s="1">
        <f t="shared" si="64"/>
        <v>-1.0627114820663208</v>
      </c>
      <c r="N542" s="1">
        <f t="shared" si="65"/>
        <v>-1.0453417550191744</v>
      </c>
      <c r="O542" s="1">
        <f t="shared" si="66"/>
        <v>-0.9307466726821565</v>
      </c>
      <c r="P542">
        <f t="shared" si="67"/>
        <v>538</v>
      </c>
      <c r="Q542">
        <f t="shared" si="68"/>
        <v>531</v>
      </c>
      <c r="R542">
        <f t="shared" si="69"/>
        <v>528</v>
      </c>
      <c r="S542">
        <f t="shared" si="70"/>
        <v>1597</v>
      </c>
      <c r="T542">
        <f t="shared" si="71"/>
        <v>541</v>
      </c>
      <c r="U542" s="1" cm="1">
        <f t="array" ref="U542">MIN(ABS(M542:O542))</f>
        <v>0.9307466726821565</v>
      </c>
    </row>
    <row r="543" spans="1:21" x14ac:dyDescent="0.35">
      <c r="A543" t="s">
        <v>535</v>
      </c>
      <c r="B543" s="2">
        <v>67.099999999999994</v>
      </c>
      <c r="C543" s="2">
        <v>-1.44</v>
      </c>
      <c r="D543" s="2">
        <v>-1.7</v>
      </c>
      <c r="E543" s="2">
        <v>0.22</v>
      </c>
      <c r="F543" s="2">
        <v>16</v>
      </c>
      <c r="G543">
        <v>0</v>
      </c>
      <c r="H543">
        <v>2</v>
      </c>
      <c r="I543">
        <v>5</v>
      </c>
      <c r="J543">
        <v>0</v>
      </c>
      <c r="K543">
        <v>0</v>
      </c>
      <c r="L543">
        <v>2</v>
      </c>
      <c r="M543" s="1">
        <f t="shared" si="64"/>
        <v>-1.0214605067064084</v>
      </c>
      <c r="N543" s="1">
        <f t="shared" si="65"/>
        <v>-1.0253353204172877</v>
      </c>
      <c r="O543" s="1">
        <f t="shared" si="66"/>
        <v>-0.99672131147540988</v>
      </c>
      <c r="P543">
        <f t="shared" si="67"/>
        <v>529</v>
      </c>
      <c r="Q543">
        <f t="shared" si="68"/>
        <v>524</v>
      </c>
      <c r="R543">
        <f t="shared" si="69"/>
        <v>545</v>
      </c>
      <c r="S543">
        <f t="shared" si="70"/>
        <v>1598</v>
      </c>
      <c r="T543">
        <f t="shared" si="71"/>
        <v>542</v>
      </c>
      <c r="U543" s="1" cm="1">
        <f t="array" ref="U543">MIN(ABS(M543:O543))</f>
        <v>0.99672131147540988</v>
      </c>
    </row>
    <row r="544" spans="1:21" x14ac:dyDescent="0.35">
      <c r="A544" t="s">
        <v>547</v>
      </c>
      <c r="B544" s="2">
        <v>44</v>
      </c>
      <c r="C544" s="2">
        <v>-1.43</v>
      </c>
      <c r="D544" s="2">
        <v>-3.2</v>
      </c>
      <c r="E544" s="2">
        <v>1.21</v>
      </c>
      <c r="F544" s="2">
        <v>22.94</v>
      </c>
      <c r="G544">
        <v>2</v>
      </c>
      <c r="H544">
        <v>10</v>
      </c>
      <c r="I544">
        <v>18</v>
      </c>
      <c r="J544">
        <v>-2</v>
      </c>
      <c r="K544">
        <v>0</v>
      </c>
      <c r="L544">
        <v>2</v>
      </c>
      <c r="M544" s="1">
        <f t="shared" si="64"/>
        <v>-1.0325</v>
      </c>
      <c r="N544" s="1">
        <f t="shared" si="65"/>
        <v>-1.0727272727272728</v>
      </c>
      <c r="O544" s="1">
        <f t="shared" si="66"/>
        <v>-0.97250000000000003</v>
      </c>
      <c r="P544">
        <f t="shared" si="67"/>
        <v>531</v>
      </c>
      <c r="Q544">
        <f t="shared" si="68"/>
        <v>536</v>
      </c>
      <c r="R544">
        <f t="shared" si="69"/>
        <v>542</v>
      </c>
      <c r="S544">
        <f t="shared" si="70"/>
        <v>1609</v>
      </c>
      <c r="T544">
        <f t="shared" si="71"/>
        <v>543</v>
      </c>
      <c r="U544" s="1" cm="1">
        <f t="array" ref="U544">MIN(ABS(M544:O544))</f>
        <v>0.97250000000000003</v>
      </c>
    </row>
    <row r="545" spans="1:21" x14ac:dyDescent="0.35">
      <c r="A545" t="s">
        <v>549</v>
      </c>
      <c r="B545" s="2">
        <v>114.46</v>
      </c>
      <c r="C545" s="2">
        <v>-4.92</v>
      </c>
      <c r="D545" s="2">
        <v>-11.91</v>
      </c>
      <c r="E545" s="2">
        <v>4.1100000000000003</v>
      </c>
      <c r="F545" s="2">
        <v>16.87</v>
      </c>
      <c r="G545">
        <v>2</v>
      </c>
      <c r="H545">
        <v>10</v>
      </c>
      <c r="I545">
        <v>18</v>
      </c>
      <c r="J545">
        <v>0</v>
      </c>
      <c r="K545">
        <v>0</v>
      </c>
      <c r="L545">
        <v>2</v>
      </c>
      <c r="M545" s="1">
        <f t="shared" si="64"/>
        <v>-1.0429844487157085</v>
      </c>
      <c r="N545" s="1">
        <f t="shared" si="65"/>
        <v>-1.1040538179276602</v>
      </c>
      <c r="O545" s="1">
        <f t="shared" si="66"/>
        <v>-0.96409225930456055</v>
      </c>
      <c r="P545">
        <f t="shared" si="67"/>
        <v>536</v>
      </c>
      <c r="Q545">
        <f t="shared" si="68"/>
        <v>538</v>
      </c>
      <c r="R545">
        <f t="shared" si="69"/>
        <v>535</v>
      </c>
      <c r="S545">
        <f t="shared" si="70"/>
        <v>1609</v>
      </c>
      <c r="T545">
        <f t="shared" si="71"/>
        <v>543</v>
      </c>
      <c r="U545" s="1" cm="1">
        <f t="array" ref="U545">MIN(ABS(M545:O545))</f>
        <v>0.96409225930456055</v>
      </c>
    </row>
    <row r="546" spans="1:21" x14ac:dyDescent="0.35">
      <c r="A546" t="s">
        <v>551</v>
      </c>
      <c r="B546" s="2">
        <v>5.86</v>
      </c>
      <c r="C546" s="2">
        <v>-0.98</v>
      </c>
      <c r="D546" s="2">
        <v>-0.66</v>
      </c>
      <c r="E546" s="2">
        <v>0.56000000000000005</v>
      </c>
      <c r="F546" s="2">
        <v>18.23</v>
      </c>
      <c r="G546">
        <v>-3</v>
      </c>
      <c r="H546">
        <v>1</v>
      </c>
      <c r="I546">
        <v>5</v>
      </c>
      <c r="J546">
        <v>0</v>
      </c>
      <c r="K546">
        <v>0</v>
      </c>
      <c r="L546">
        <v>2</v>
      </c>
      <c r="M546" s="1">
        <f t="shared" si="64"/>
        <v>-1.1672354948805461</v>
      </c>
      <c r="N546" s="1">
        <f t="shared" si="65"/>
        <v>-1.1126279863481228</v>
      </c>
      <c r="O546" s="1">
        <f t="shared" si="66"/>
        <v>-0.90443686006825941</v>
      </c>
      <c r="P546">
        <f t="shared" si="67"/>
        <v>546</v>
      </c>
      <c r="Q546">
        <f t="shared" si="68"/>
        <v>540</v>
      </c>
      <c r="R546">
        <f t="shared" si="69"/>
        <v>523</v>
      </c>
      <c r="S546">
        <f t="shared" si="70"/>
        <v>1609</v>
      </c>
      <c r="T546">
        <f t="shared" si="71"/>
        <v>543</v>
      </c>
      <c r="U546" s="1" cm="1">
        <f t="array" ref="U546">MIN(ABS(M546:O546))</f>
        <v>0.90443686006825941</v>
      </c>
    </row>
    <row r="547" spans="1:21" x14ac:dyDescent="0.35">
      <c r="A547" t="s">
        <v>538</v>
      </c>
      <c r="B547" s="2">
        <v>178.93</v>
      </c>
      <c r="C547" s="2">
        <v>-6.53</v>
      </c>
      <c r="D547" s="2">
        <v>-6.49</v>
      </c>
      <c r="E547" s="2">
        <v>-5.03</v>
      </c>
      <c r="F547" s="2">
        <v>14.62</v>
      </c>
      <c r="G547">
        <v>1</v>
      </c>
      <c r="H547">
        <v>3</v>
      </c>
      <c r="I547">
        <v>6</v>
      </c>
      <c r="J547">
        <v>0</v>
      </c>
      <c r="K547">
        <v>0</v>
      </c>
      <c r="L547">
        <v>2</v>
      </c>
      <c r="M547" s="1">
        <f t="shared" si="64"/>
        <v>-1.0364947186050411</v>
      </c>
      <c r="N547" s="1">
        <f t="shared" si="65"/>
        <v>-1.0362711674956686</v>
      </c>
      <c r="O547" s="1">
        <f t="shared" si="66"/>
        <v>-1.0281115520035768</v>
      </c>
      <c r="P547">
        <f t="shared" si="67"/>
        <v>533</v>
      </c>
      <c r="Q547">
        <f t="shared" si="68"/>
        <v>527</v>
      </c>
      <c r="R547">
        <f t="shared" si="69"/>
        <v>551</v>
      </c>
      <c r="S547">
        <f t="shared" si="70"/>
        <v>1611</v>
      </c>
      <c r="T547">
        <f t="shared" si="71"/>
        <v>546</v>
      </c>
      <c r="U547" s="1" cm="1">
        <f t="array" ref="U547">MIN(ABS(M547:O547))</f>
        <v>1.0281115520035768</v>
      </c>
    </row>
    <row r="548" spans="1:21" x14ac:dyDescent="0.35">
      <c r="A548" t="s">
        <v>544</v>
      </c>
      <c r="B548" s="2">
        <v>246.26</v>
      </c>
      <c r="C548" s="2">
        <v>-10.94</v>
      </c>
      <c r="D548" s="2">
        <v>-13.31</v>
      </c>
      <c r="E548" s="2">
        <v>4.4400000000000004</v>
      </c>
      <c r="F548" s="2">
        <v>16.88</v>
      </c>
      <c r="G548">
        <v>1</v>
      </c>
      <c r="H548">
        <v>2</v>
      </c>
      <c r="I548">
        <v>5</v>
      </c>
      <c r="J548">
        <v>0</v>
      </c>
      <c r="K548">
        <v>0</v>
      </c>
      <c r="L548">
        <v>2</v>
      </c>
      <c r="M548" s="1">
        <f t="shared" si="64"/>
        <v>-1.0444245918947455</v>
      </c>
      <c r="N548" s="1">
        <f t="shared" si="65"/>
        <v>-1.0540485665556729</v>
      </c>
      <c r="O548" s="1">
        <f t="shared" si="66"/>
        <v>-0.98197027531876879</v>
      </c>
      <c r="P548">
        <f t="shared" si="67"/>
        <v>537</v>
      </c>
      <c r="Q548">
        <f t="shared" si="68"/>
        <v>533</v>
      </c>
      <c r="R548">
        <f t="shared" si="69"/>
        <v>544</v>
      </c>
      <c r="S548">
        <f t="shared" si="70"/>
        <v>1614</v>
      </c>
      <c r="T548">
        <f t="shared" si="71"/>
        <v>547</v>
      </c>
      <c r="U548" s="1" cm="1">
        <f t="array" ref="U548">MIN(ABS(M548:O548))</f>
        <v>0.98197027531876879</v>
      </c>
    </row>
    <row r="549" spans="1:21" x14ac:dyDescent="0.35">
      <c r="A549" t="s">
        <v>555</v>
      </c>
      <c r="B549" s="2">
        <v>202.44</v>
      </c>
      <c r="C549" s="2">
        <v>-47.02</v>
      </c>
      <c r="D549" s="2">
        <v>-42.3</v>
      </c>
      <c r="E549" s="2">
        <v>18.510000000000002</v>
      </c>
      <c r="F549" s="2">
        <v>13.29</v>
      </c>
      <c r="G549">
        <v>2</v>
      </c>
      <c r="H549">
        <v>10</v>
      </c>
      <c r="I549">
        <v>18</v>
      </c>
      <c r="J549">
        <v>0</v>
      </c>
      <c r="K549">
        <v>0</v>
      </c>
      <c r="L549">
        <v>2</v>
      </c>
      <c r="M549" s="1">
        <f t="shared" si="64"/>
        <v>-1.232266350523612</v>
      </c>
      <c r="N549" s="1">
        <f t="shared" si="65"/>
        <v>-1.2089508002371072</v>
      </c>
      <c r="O549" s="1">
        <f t="shared" si="66"/>
        <v>-0.90856550088915233</v>
      </c>
      <c r="P549">
        <f t="shared" si="67"/>
        <v>547</v>
      </c>
      <c r="Q549">
        <f t="shared" si="68"/>
        <v>545</v>
      </c>
      <c r="R549">
        <f t="shared" si="69"/>
        <v>525</v>
      </c>
      <c r="S549">
        <f t="shared" si="70"/>
        <v>1617</v>
      </c>
      <c r="T549">
        <f t="shared" si="71"/>
        <v>548</v>
      </c>
      <c r="U549" s="1" cm="1">
        <f t="array" ref="U549">MIN(ABS(M549:O549))</f>
        <v>0.90856550088915233</v>
      </c>
    </row>
    <row r="550" spans="1:21" x14ac:dyDescent="0.35">
      <c r="A550" t="s">
        <v>545</v>
      </c>
      <c r="B550" s="2">
        <v>52.4</v>
      </c>
      <c r="C550" s="2">
        <v>-1.78</v>
      </c>
      <c r="D550" s="2">
        <v>-3.45</v>
      </c>
      <c r="E550" s="2">
        <v>-7.72</v>
      </c>
      <c r="F550" s="2">
        <v>15.25</v>
      </c>
      <c r="G550">
        <v>2</v>
      </c>
      <c r="H550">
        <v>10</v>
      </c>
      <c r="I550">
        <v>18</v>
      </c>
      <c r="J550">
        <v>0</v>
      </c>
      <c r="K550">
        <v>0</v>
      </c>
      <c r="L550">
        <v>2</v>
      </c>
      <c r="M550" s="1">
        <f t="shared" si="64"/>
        <v>-1.0339694656488549</v>
      </c>
      <c r="N550" s="1">
        <f t="shared" si="65"/>
        <v>-1.0658396946564885</v>
      </c>
      <c r="O550" s="1">
        <f t="shared" si="66"/>
        <v>-1.1473282442748092</v>
      </c>
      <c r="P550">
        <f t="shared" si="67"/>
        <v>532</v>
      </c>
      <c r="Q550">
        <f t="shared" si="68"/>
        <v>534</v>
      </c>
      <c r="R550">
        <f t="shared" si="69"/>
        <v>554</v>
      </c>
      <c r="S550">
        <f t="shared" si="70"/>
        <v>1620</v>
      </c>
      <c r="T550">
        <f t="shared" si="71"/>
        <v>549</v>
      </c>
      <c r="U550" s="1" cm="1">
        <f t="array" ref="U550">MIN(ABS(M550:O550))</f>
        <v>1.0339694656488549</v>
      </c>
    </row>
    <row r="551" spans="1:21" x14ac:dyDescent="0.35">
      <c r="A551" t="s">
        <v>541</v>
      </c>
      <c r="B551" s="2">
        <v>12.14</v>
      </c>
      <c r="C551" s="2">
        <v>-0.97</v>
      </c>
      <c r="D551" s="2">
        <v>-0.54</v>
      </c>
      <c r="E551" s="2">
        <v>-0.69</v>
      </c>
      <c r="F551" s="2">
        <v>15.82</v>
      </c>
      <c r="G551">
        <v>-3</v>
      </c>
      <c r="H551">
        <v>1</v>
      </c>
      <c r="I551">
        <v>5</v>
      </c>
      <c r="J551">
        <v>0</v>
      </c>
      <c r="K551">
        <v>0</v>
      </c>
      <c r="L551">
        <v>2</v>
      </c>
      <c r="M551" s="1">
        <f t="shared" si="64"/>
        <v>-1.0799011532125207</v>
      </c>
      <c r="N551" s="1">
        <f t="shared" si="65"/>
        <v>-1.044481054365733</v>
      </c>
      <c r="O551" s="1">
        <f t="shared" si="66"/>
        <v>-1.056836902800659</v>
      </c>
      <c r="P551">
        <f t="shared" si="67"/>
        <v>540</v>
      </c>
      <c r="Q551">
        <f t="shared" si="68"/>
        <v>530</v>
      </c>
      <c r="R551">
        <f t="shared" si="69"/>
        <v>552</v>
      </c>
      <c r="S551">
        <f t="shared" si="70"/>
        <v>1622</v>
      </c>
      <c r="T551">
        <f t="shared" si="71"/>
        <v>550</v>
      </c>
      <c r="U551" s="1" cm="1">
        <f t="array" ref="U551">MIN(ABS(M551:O551))</f>
        <v>1.044481054365733</v>
      </c>
    </row>
    <row r="552" spans="1:21" x14ac:dyDescent="0.35">
      <c r="A552" t="s">
        <v>554</v>
      </c>
      <c r="B552" s="2">
        <v>145.93</v>
      </c>
      <c r="C552" s="2">
        <v>-12.66</v>
      </c>
      <c r="D552" s="2">
        <v>-25.11</v>
      </c>
      <c r="E552" s="2">
        <v>-0.48</v>
      </c>
      <c r="F552" s="2">
        <v>12.92</v>
      </c>
      <c r="G552">
        <v>2</v>
      </c>
      <c r="H552">
        <v>9</v>
      </c>
      <c r="I552">
        <v>15</v>
      </c>
      <c r="J552">
        <v>1</v>
      </c>
      <c r="K552">
        <v>5</v>
      </c>
      <c r="L552">
        <v>9</v>
      </c>
      <c r="M552" s="1">
        <f t="shared" si="64"/>
        <v>-1.0867539231138217</v>
      </c>
      <c r="N552" s="1">
        <f t="shared" si="65"/>
        <v>-1.1720688001096415</v>
      </c>
      <c r="O552" s="1">
        <f t="shared" si="66"/>
        <v>-1.0032892482697184</v>
      </c>
      <c r="P552">
        <f t="shared" si="67"/>
        <v>541</v>
      </c>
      <c r="Q552">
        <f t="shared" si="68"/>
        <v>543</v>
      </c>
      <c r="R552">
        <f t="shared" si="69"/>
        <v>548</v>
      </c>
      <c r="S552">
        <f t="shared" si="70"/>
        <v>1632</v>
      </c>
      <c r="T552">
        <f t="shared" si="71"/>
        <v>551</v>
      </c>
      <c r="U552" s="1" cm="1">
        <f t="array" ref="U552">MIN(ABS(M552:O552))</f>
        <v>1.0032892482697184</v>
      </c>
    </row>
    <row r="553" spans="1:21" x14ac:dyDescent="0.35">
      <c r="A553" t="s">
        <v>554</v>
      </c>
      <c r="B553" s="2">
        <v>145.93</v>
      </c>
      <c r="C553" s="2">
        <v>-12.66</v>
      </c>
      <c r="D553" s="2">
        <v>-25.11</v>
      </c>
      <c r="E553" s="2">
        <v>-0.48</v>
      </c>
      <c r="F553" s="2">
        <v>12.92</v>
      </c>
      <c r="G553">
        <v>2</v>
      </c>
      <c r="H553">
        <v>9</v>
      </c>
      <c r="I553">
        <v>15</v>
      </c>
      <c r="J553">
        <v>1</v>
      </c>
      <c r="K553">
        <v>5</v>
      </c>
      <c r="L553">
        <v>9</v>
      </c>
      <c r="M553" s="1">
        <f t="shared" si="64"/>
        <v>-1.0867539231138217</v>
      </c>
      <c r="N553" s="1">
        <f t="shared" si="65"/>
        <v>-1.1720688001096415</v>
      </c>
      <c r="O553" s="1">
        <f t="shared" si="66"/>
        <v>-1.0032892482697184</v>
      </c>
      <c r="P553">
        <f t="shared" si="67"/>
        <v>541</v>
      </c>
      <c r="Q553">
        <f t="shared" si="68"/>
        <v>543</v>
      </c>
      <c r="R553">
        <f t="shared" si="69"/>
        <v>548</v>
      </c>
      <c r="S553">
        <f t="shared" si="70"/>
        <v>1632</v>
      </c>
      <c r="T553">
        <f t="shared" si="71"/>
        <v>551</v>
      </c>
      <c r="U553" s="1" cm="1">
        <f t="array" ref="U553">MIN(ABS(M553:O553))</f>
        <v>1.0032892482697184</v>
      </c>
    </row>
    <row r="554" spans="1:21" x14ac:dyDescent="0.35">
      <c r="A554" t="s">
        <v>572</v>
      </c>
      <c r="B554" s="2">
        <v>12.03</v>
      </c>
      <c r="C554" s="2">
        <v>-30.82</v>
      </c>
      <c r="D554" s="2">
        <v>-29.02</v>
      </c>
      <c r="E554" s="2">
        <v>2.11</v>
      </c>
      <c r="F554" s="2">
        <v>18.600000000000001</v>
      </c>
      <c r="G554">
        <v>-2</v>
      </c>
      <c r="H554">
        <v>1</v>
      </c>
      <c r="I554">
        <v>5</v>
      </c>
      <c r="J554">
        <v>0</v>
      </c>
      <c r="K554">
        <v>0</v>
      </c>
      <c r="L554">
        <v>2</v>
      </c>
      <c r="M554" s="1">
        <f t="shared" si="64"/>
        <v>-3.5619285120532007</v>
      </c>
      <c r="N554" s="1">
        <f t="shared" si="65"/>
        <v>-3.4123025768911055</v>
      </c>
      <c r="O554" s="1">
        <f t="shared" si="66"/>
        <v>-0.82460515378221111</v>
      </c>
      <c r="P554">
        <f t="shared" si="67"/>
        <v>563</v>
      </c>
      <c r="Q554">
        <f t="shared" si="68"/>
        <v>562</v>
      </c>
      <c r="R554">
        <f t="shared" si="69"/>
        <v>507</v>
      </c>
      <c r="S554">
        <f t="shared" si="70"/>
        <v>1632</v>
      </c>
      <c r="T554">
        <f t="shared" si="71"/>
        <v>551</v>
      </c>
      <c r="U554" s="1" cm="1">
        <f t="array" ref="U554">MIN(ABS(M554:O554))</f>
        <v>0.82460515378221111</v>
      </c>
    </row>
    <row r="555" spans="1:21" x14ac:dyDescent="0.35">
      <c r="A555" t="s">
        <v>560</v>
      </c>
      <c r="B555" s="2">
        <v>73.319999999999993</v>
      </c>
      <c r="C555" s="2">
        <v>-32.78</v>
      </c>
      <c r="D555" s="2">
        <v>-29.71</v>
      </c>
      <c r="E555" s="2">
        <v>-14.12</v>
      </c>
      <c r="F555" s="2">
        <v>17.84</v>
      </c>
      <c r="G555">
        <v>-3</v>
      </c>
      <c r="H555">
        <v>1</v>
      </c>
      <c r="I555">
        <v>5</v>
      </c>
      <c r="J555">
        <v>0</v>
      </c>
      <c r="K555">
        <v>0</v>
      </c>
      <c r="L555">
        <v>2</v>
      </c>
      <c r="M555" s="1">
        <f t="shared" si="64"/>
        <v>-1.4470812875068195</v>
      </c>
      <c r="N555" s="1">
        <f t="shared" si="65"/>
        <v>-1.4052100381887618</v>
      </c>
      <c r="O555" s="1">
        <f t="shared" si="66"/>
        <v>-1.1925804691762139</v>
      </c>
      <c r="P555">
        <f t="shared" si="67"/>
        <v>551</v>
      </c>
      <c r="Q555">
        <f t="shared" si="68"/>
        <v>550</v>
      </c>
      <c r="R555">
        <f t="shared" si="69"/>
        <v>555</v>
      </c>
      <c r="S555">
        <f t="shared" si="70"/>
        <v>1656</v>
      </c>
      <c r="T555">
        <f t="shared" si="71"/>
        <v>554</v>
      </c>
      <c r="U555" s="1" cm="1">
        <f t="array" ref="U555">MIN(ABS(M555:O555))</f>
        <v>1.1925804691762139</v>
      </c>
    </row>
    <row r="556" spans="1:21" x14ac:dyDescent="0.35">
      <c r="A556" t="s">
        <v>561</v>
      </c>
      <c r="B556" s="2">
        <v>38.700000000000003</v>
      </c>
      <c r="C556" s="2">
        <v>-16.43</v>
      </c>
      <c r="D556" s="2">
        <v>-15.76</v>
      </c>
      <c r="E556" s="2">
        <v>-14.84</v>
      </c>
      <c r="F556" s="2">
        <v>15.82</v>
      </c>
      <c r="G556">
        <v>-3</v>
      </c>
      <c r="H556">
        <v>1</v>
      </c>
      <c r="I556">
        <v>5</v>
      </c>
      <c r="J556">
        <v>0</v>
      </c>
      <c r="K556">
        <v>0</v>
      </c>
      <c r="L556">
        <v>2</v>
      </c>
      <c r="M556" s="1">
        <f t="shared" si="64"/>
        <v>-1.4245478036175709</v>
      </c>
      <c r="N556" s="1">
        <f t="shared" si="65"/>
        <v>-1.4072351421188629</v>
      </c>
      <c r="O556" s="1">
        <f t="shared" si="66"/>
        <v>-1.3834625322997416</v>
      </c>
      <c r="P556">
        <f t="shared" si="67"/>
        <v>549</v>
      </c>
      <c r="Q556">
        <f t="shared" si="68"/>
        <v>551</v>
      </c>
      <c r="R556">
        <f t="shared" si="69"/>
        <v>557</v>
      </c>
      <c r="S556">
        <f t="shared" si="70"/>
        <v>1657</v>
      </c>
      <c r="T556">
        <f t="shared" si="71"/>
        <v>555</v>
      </c>
      <c r="U556" s="1" cm="1">
        <f t="array" ref="U556">MIN(ABS(M556:O556))</f>
        <v>1.3834625322997416</v>
      </c>
    </row>
    <row r="557" spans="1:21" x14ac:dyDescent="0.35">
      <c r="A557" t="s">
        <v>562</v>
      </c>
      <c r="B557" s="2">
        <v>3.04</v>
      </c>
      <c r="C557" s="2">
        <v>-1.41</v>
      </c>
      <c r="D557" s="2">
        <v>-1.32</v>
      </c>
      <c r="E557" s="2">
        <v>-1.1399999999999999</v>
      </c>
      <c r="F557" s="2">
        <v>16.190000000000001</v>
      </c>
      <c r="G557">
        <v>-1</v>
      </c>
      <c r="H557">
        <v>1</v>
      </c>
      <c r="I557">
        <v>5</v>
      </c>
      <c r="J557">
        <v>0</v>
      </c>
      <c r="K557">
        <v>0</v>
      </c>
      <c r="L557">
        <v>2</v>
      </c>
      <c r="M557" s="1">
        <f t="shared" si="64"/>
        <v>-1.4638157894736841</v>
      </c>
      <c r="N557" s="1">
        <f t="shared" si="65"/>
        <v>-1.4342105263157894</v>
      </c>
      <c r="O557" s="1">
        <f t="shared" si="66"/>
        <v>-1.375</v>
      </c>
      <c r="P557">
        <f t="shared" si="67"/>
        <v>552</v>
      </c>
      <c r="Q557">
        <f t="shared" si="68"/>
        <v>552</v>
      </c>
      <c r="R557">
        <f t="shared" si="69"/>
        <v>556</v>
      </c>
      <c r="S557">
        <f t="shared" si="70"/>
        <v>1660</v>
      </c>
      <c r="T557">
        <f t="shared" si="71"/>
        <v>556</v>
      </c>
      <c r="U557" s="1" cm="1">
        <f t="array" ref="U557">MIN(ABS(M557:O557))</f>
        <v>1.375</v>
      </c>
    </row>
    <row r="558" spans="1:21" x14ac:dyDescent="0.35">
      <c r="A558" t="s">
        <v>564</v>
      </c>
      <c r="B558" s="2">
        <v>10.81</v>
      </c>
      <c r="C558" s="2">
        <v>-6.28</v>
      </c>
      <c r="D558" s="2">
        <v>-5.3</v>
      </c>
      <c r="E558" s="2">
        <v>-1.28</v>
      </c>
      <c r="F558" s="2">
        <v>16.440000000000001</v>
      </c>
      <c r="G558">
        <v>-3</v>
      </c>
      <c r="H558">
        <v>1</v>
      </c>
      <c r="I558">
        <v>5</v>
      </c>
      <c r="J558">
        <v>0</v>
      </c>
      <c r="K558">
        <v>0</v>
      </c>
      <c r="L558">
        <v>2</v>
      </c>
      <c r="M558" s="1">
        <f t="shared" si="64"/>
        <v>-1.5809435707678077</v>
      </c>
      <c r="N558" s="1">
        <f t="shared" si="65"/>
        <v>-1.4902867715078632</v>
      </c>
      <c r="O558" s="1">
        <f t="shared" si="66"/>
        <v>-1.1184088806660499</v>
      </c>
      <c r="P558">
        <f t="shared" si="67"/>
        <v>556</v>
      </c>
      <c r="Q558">
        <f t="shared" si="68"/>
        <v>554</v>
      </c>
      <c r="R558">
        <f t="shared" si="69"/>
        <v>553</v>
      </c>
      <c r="S558">
        <f t="shared" si="70"/>
        <v>1663</v>
      </c>
      <c r="T558">
        <f t="shared" si="71"/>
        <v>557</v>
      </c>
      <c r="U558" s="1" cm="1">
        <f t="array" ref="U558">MIN(ABS(M558:O558))</f>
        <v>1.1184088806660499</v>
      </c>
    </row>
    <row r="559" spans="1:21" x14ac:dyDescent="0.35">
      <c r="A559" t="s">
        <v>567</v>
      </c>
      <c r="B559" s="2">
        <v>54.63</v>
      </c>
      <c r="C559" s="2">
        <v>-20.34</v>
      </c>
      <c r="D559" s="2">
        <v>-46.98</v>
      </c>
      <c r="E559" s="2">
        <v>-38.44</v>
      </c>
      <c r="F559" s="2">
        <v>14.63</v>
      </c>
      <c r="G559">
        <v>2</v>
      </c>
      <c r="H559">
        <v>10</v>
      </c>
      <c r="I559">
        <v>18</v>
      </c>
      <c r="J559">
        <v>0</v>
      </c>
      <c r="K559">
        <v>0</v>
      </c>
      <c r="L559">
        <v>2</v>
      </c>
      <c r="M559" s="1">
        <f t="shared" si="64"/>
        <v>-1.3723228995057659</v>
      </c>
      <c r="N559" s="1">
        <f t="shared" si="65"/>
        <v>-1.8599670510708401</v>
      </c>
      <c r="O559" s="1">
        <f t="shared" si="66"/>
        <v>-1.7036426871682226</v>
      </c>
      <c r="P559">
        <f t="shared" si="67"/>
        <v>548</v>
      </c>
      <c r="Q559">
        <f t="shared" si="68"/>
        <v>557</v>
      </c>
      <c r="R559">
        <f t="shared" si="69"/>
        <v>559</v>
      </c>
      <c r="S559">
        <f t="shared" si="70"/>
        <v>1664</v>
      </c>
      <c r="T559">
        <f t="shared" si="71"/>
        <v>558</v>
      </c>
      <c r="U559" s="1" cm="1">
        <f t="array" ref="U559">MIN(ABS(M559:O559))</f>
        <v>1.3723228995057659</v>
      </c>
    </row>
    <row r="560" spans="1:21" x14ac:dyDescent="0.35">
      <c r="A560" t="s">
        <v>563</v>
      </c>
      <c r="B560" s="2">
        <v>2.76</v>
      </c>
      <c r="C560" s="2">
        <v>-1.72</v>
      </c>
      <c r="D560" s="2">
        <v>-1.31</v>
      </c>
      <c r="E560" s="2">
        <v>-1.72</v>
      </c>
      <c r="F560" s="2">
        <v>16.41</v>
      </c>
      <c r="G560">
        <v>-3</v>
      </c>
      <c r="H560">
        <v>1</v>
      </c>
      <c r="I560">
        <v>5</v>
      </c>
      <c r="J560">
        <v>0</v>
      </c>
      <c r="K560">
        <v>0</v>
      </c>
      <c r="L560">
        <v>2</v>
      </c>
      <c r="M560" s="1">
        <f t="shared" si="64"/>
        <v>-1.6231884057971016</v>
      </c>
      <c r="N560" s="1">
        <f t="shared" si="65"/>
        <v>-1.4746376811594204</v>
      </c>
      <c r="O560" s="1">
        <f t="shared" si="66"/>
        <v>-1.6231884057971016</v>
      </c>
      <c r="P560">
        <f t="shared" si="67"/>
        <v>557</v>
      </c>
      <c r="Q560">
        <f t="shared" si="68"/>
        <v>553</v>
      </c>
      <c r="R560">
        <f t="shared" si="69"/>
        <v>558</v>
      </c>
      <c r="S560">
        <f t="shared" si="70"/>
        <v>1668</v>
      </c>
      <c r="T560">
        <f t="shared" si="71"/>
        <v>559</v>
      </c>
      <c r="U560" s="1" cm="1">
        <f t="array" ref="U560">MIN(ABS(M560:O560))</f>
        <v>1.4746376811594204</v>
      </c>
    </row>
    <row r="561" spans="1:22" x14ac:dyDescent="0.35">
      <c r="A561" t="s">
        <v>568</v>
      </c>
      <c r="B561" s="2">
        <v>3.45</v>
      </c>
      <c r="C561" s="2">
        <v>-1.53</v>
      </c>
      <c r="D561" s="2">
        <v>-3.13</v>
      </c>
      <c r="E561" s="2">
        <v>-12.58</v>
      </c>
      <c r="F561" s="2">
        <v>14.77</v>
      </c>
      <c r="G561">
        <v>2</v>
      </c>
      <c r="H561">
        <v>10</v>
      </c>
      <c r="I561">
        <v>18</v>
      </c>
      <c r="J561">
        <v>0</v>
      </c>
      <c r="K561">
        <v>0</v>
      </c>
      <c r="L561">
        <v>2</v>
      </c>
      <c r="M561" s="1">
        <f t="shared" si="64"/>
        <v>-1.4434782608695653</v>
      </c>
      <c r="N561" s="1">
        <f t="shared" si="65"/>
        <v>-1.9072463768115941</v>
      </c>
      <c r="O561" s="1">
        <f t="shared" si="66"/>
        <v>-4.6463768115942026</v>
      </c>
      <c r="P561">
        <f t="shared" si="67"/>
        <v>550</v>
      </c>
      <c r="Q561">
        <f t="shared" si="68"/>
        <v>558</v>
      </c>
      <c r="R561">
        <f t="shared" si="69"/>
        <v>562</v>
      </c>
      <c r="S561">
        <f t="shared" si="70"/>
        <v>1670</v>
      </c>
      <c r="T561">
        <f t="shared" si="71"/>
        <v>560</v>
      </c>
      <c r="U561" s="1" cm="1">
        <f t="array" ref="U561">MIN(ABS(M561:O561))</f>
        <v>1.4434782608695653</v>
      </c>
    </row>
    <row r="562" spans="1:22" x14ac:dyDescent="0.35">
      <c r="A562" t="s">
        <v>569</v>
      </c>
      <c r="B562" s="2">
        <v>67.05</v>
      </c>
      <c r="C562" s="2">
        <v>-64.88</v>
      </c>
      <c r="D562" s="2">
        <v>-64.599999999999994</v>
      </c>
      <c r="E562" s="2">
        <v>-59.13</v>
      </c>
      <c r="F562" s="2">
        <v>15.15</v>
      </c>
      <c r="G562">
        <v>-3</v>
      </c>
      <c r="H562">
        <v>1</v>
      </c>
      <c r="I562">
        <v>5</v>
      </c>
      <c r="J562">
        <v>0</v>
      </c>
      <c r="K562">
        <v>0</v>
      </c>
      <c r="L562">
        <v>2</v>
      </c>
      <c r="M562" s="1">
        <f t="shared" si="64"/>
        <v>-1.9676360924683072</v>
      </c>
      <c r="N562" s="1">
        <f t="shared" si="65"/>
        <v>-1.9634601043997018</v>
      </c>
      <c r="O562" s="1">
        <f t="shared" si="66"/>
        <v>-1.8818791946308726</v>
      </c>
      <c r="P562">
        <f t="shared" si="67"/>
        <v>560</v>
      </c>
      <c r="Q562">
        <f t="shared" si="68"/>
        <v>559</v>
      </c>
      <c r="R562">
        <f t="shared" si="69"/>
        <v>560</v>
      </c>
      <c r="S562">
        <f t="shared" si="70"/>
        <v>1679</v>
      </c>
      <c r="T562">
        <f t="shared" si="71"/>
        <v>561</v>
      </c>
      <c r="U562" s="1" cm="1">
        <f t="array" ref="U562">MIN(ABS(M562:O562))</f>
        <v>1.8818791946308726</v>
      </c>
    </row>
    <row r="563" spans="1:22" x14ac:dyDescent="0.35">
      <c r="A563" t="s">
        <v>570</v>
      </c>
      <c r="B563" s="2">
        <v>4.33</v>
      </c>
      <c r="C563" s="2">
        <v>-3.86</v>
      </c>
      <c r="D563" s="2">
        <v>-6.76</v>
      </c>
      <c r="E563" s="2">
        <v>-20.63</v>
      </c>
      <c r="F563" s="2">
        <v>15.15</v>
      </c>
      <c r="G563">
        <v>2</v>
      </c>
      <c r="H563">
        <v>10</v>
      </c>
      <c r="I563">
        <v>18</v>
      </c>
      <c r="J563">
        <v>0</v>
      </c>
      <c r="K563">
        <v>0</v>
      </c>
      <c r="L563">
        <v>2</v>
      </c>
      <c r="M563" s="1">
        <f t="shared" si="64"/>
        <v>-1.8914549653579678</v>
      </c>
      <c r="N563" s="1">
        <f t="shared" si="65"/>
        <v>-2.5612009237875286</v>
      </c>
      <c r="O563" s="1">
        <f t="shared" si="66"/>
        <v>-5.7644341801385677</v>
      </c>
      <c r="P563">
        <f t="shared" si="67"/>
        <v>559</v>
      </c>
      <c r="Q563">
        <f t="shared" si="68"/>
        <v>560</v>
      </c>
      <c r="R563">
        <f t="shared" si="69"/>
        <v>563</v>
      </c>
      <c r="S563">
        <f t="shared" si="70"/>
        <v>1682</v>
      </c>
      <c r="T563">
        <f t="shared" si="71"/>
        <v>562</v>
      </c>
      <c r="U563" s="1" cm="1">
        <f t="array" ref="U563">MIN(ABS(M563:O563))</f>
        <v>1.8914549653579678</v>
      </c>
    </row>
    <row r="564" spans="1:22" x14ac:dyDescent="0.35">
      <c r="A564" t="s">
        <v>571</v>
      </c>
      <c r="B564" s="2">
        <v>25.14</v>
      </c>
      <c r="C564" s="2">
        <v>-50.22</v>
      </c>
      <c r="D564" s="2">
        <v>-53.25</v>
      </c>
      <c r="E564" s="2">
        <v>-66.8</v>
      </c>
      <c r="F564" s="2">
        <v>15.05</v>
      </c>
      <c r="G564">
        <v>2</v>
      </c>
      <c r="H564">
        <v>7</v>
      </c>
      <c r="I564">
        <v>13</v>
      </c>
      <c r="J564">
        <v>0</v>
      </c>
      <c r="K564">
        <v>0</v>
      </c>
      <c r="L564">
        <v>2</v>
      </c>
      <c r="M564" s="1">
        <f t="shared" si="64"/>
        <v>-2.9976133651551313</v>
      </c>
      <c r="N564" s="1">
        <f t="shared" si="65"/>
        <v>-3.1181384248210025</v>
      </c>
      <c r="O564" s="1">
        <f t="shared" si="66"/>
        <v>-3.6571201272871914</v>
      </c>
      <c r="P564">
        <f t="shared" si="67"/>
        <v>561</v>
      </c>
      <c r="Q564">
        <f t="shared" si="68"/>
        <v>561</v>
      </c>
      <c r="R564">
        <f t="shared" si="69"/>
        <v>561</v>
      </c>
      <c r="S564">
        <f t="shared" si="70"/>
        <v>1683</v>
      </c>
      <c r="T564">
        <f t="shared" si="71"/>
        <v>563</v>
      </c>
      <c r="U564" s="1" cm="1">
        <f t="array" ref="U564">MIN(ABS(M564:O564))</f>
        <v>2.9976133651551313</v>
      </c>
    </row>
    <row r="566" spans="1:22" x14ac:dyDescent="0.35">
      <c r="A566" t="s">
        <v>574</v>
      </c>
      <c r="F566">
        <v>10.46</v>
      </c>
      <c r="M566" s="1">
        <v>-0.82</v>
      </c>
      <c r="N566" s="1">
        <v>-0.75</v>
      </c>
      <c r="O566" s="1">
        <v>-0.53</v>
      </c>
      <c r="U566" s="1">
        <f>_xlfn.QUARTILE.EXC(U$2:U$564, 1)</f>
        <v>0.13625801282051275</v>
      </c>
    </row>
    <row r="567" spans="1:22" x14ac:dyDescent="0.35">
      <c r="A567" t="s">
        <v>575</v>
      </c>
      <c r="F567">
        <v>11.67</v>
      </c>
      <c r="M567" s="1">
        <v>-0.63</v>
      </c>
      <c r="N567" s="1">
        <v>-0.53</v>
      </c>
      <c r="O567" s="1">
        <v>-0.08</v>
      </c>
      <c r="U567" s="1">
        <f>_xlfn.QUARTILE.EXC(U$2:U$564, 2)</f>
        <v>0.31700383445722613</v>
      </c>
    </row>
    <row r="568" spans="1:22" x14ac:dyDescent="0.35">
      <c r="A568" t="s">
        <v>576</v>
      </c>
      <c r="F568">
        <v>12.8</v>
      </c>
      <c r="M568" s="1">
        <v>-0.36</v>
      </c>
      <c r="N568" s="1">
        <v>-0.17</v>
      </c>
      <c r="O568" s="1">
        <v>0.91</v>
      </c>
      <c r="U568" s="1">
        <f>_xlfn.QUARTILE.EXC(U$2:U$564, 3)</f>
        <v>0.58442477876106191</v>
      </c>
    </row>
    <row r="569" spans="1:22" x14ac:dyDescent="0.35">
      <c r="A569" t="s">
        <v>577</v>
      </c>
      <c r="F569">
        <v>2.34</v>
      </c>
      <c r="M569" s="1">
        <v>0.46</v>
      </c>
      <c r="N569" s="1">
        <v>0.57999999999999996</v>
      </c>
      <c r="O569" s="1">
        <v>1.44</v>
      </c>
      <c r="U569" s="1">
        <f>U568-U566</f>
        <v>0.44816676594054916</v>
      </c>
      <c r="V569" s="1">
        <v>0.32</v>
      </c>
    </row>
    <row r="570" spans="1:22" x14ac:dyDescent="0.35">
      <c r="A570" t="s">
        <v>545</v>
      </c>
      <c r="F570">
        <v>6.95</v>
      </c>
      <c r="M570" s="1">
        <v>-1.5</v>
      </c>
      <c r="N570" s="1">
        <v>-1.61</v>
      </c>
      <c r="O570" s="1">
        <v>-2.68</v>
      </c>
    </row>
    <row r="571" spans="1:22" x14ac:dyDescent="0.35">
      <c r="A571" t="s">
        <v>578</v>
      </c>
      <c r="F571">
        <v>16.309999999999999</v>
      </c>
      <c r="M571" s="1">
        <v>0.33</v>
      </c>
      <c r="N571" s="1">
        <v>0.69</v>
      </c>
      <c r="O571" s="1">
        <v>3.07</v>
      </c>
    </row>
    <row r="572" spans="1:22" x14ac:dyDescent="0.35">
      <c r="A572" t="s">
        <v>579</v>
      </c>
      <c r="F572">
        <v>11.65</v>
      </c>
      <c r="M572" s="1">
        <v>-0.55000000000000004</v>
      </c>
      <c r="N572" s="1">
        <v>-0.37</v>
      </c>
      <c r="O572" s="1">
        <v>0.77</v>
      </c>
    </row>
    <row r="573" spans="1:22" x14ac:dyDescent="0.35">
      <c r="A573" t="s">
        <v>580</v>
      </c>
      <c r="F573">
        <v>2.6</v>
      </c>
      <c r="M573" s="1">
        <v>0.53</v>
      </c>
      <c r="N573" s="1">
        <v>0.91</v>
      </c>
      <c r="O573" s="1">
        <v>3.94</v>
      </c>
    </row>
    <row r="574" spans="1:22" x14ac:dyDescent="0.35">
      <c r="A574" t="s">
        <v>545</v>
      </c>
      <c r="F574">
        <v>6.44</v>
      </c>
      <c r="M574" s="1">
        <v>-1.61</v>
      </c>
      <c r="N574" s="1">
        <v>-2.19</v>
      </c>
      <c r="O574" s="1">
        <v>-7.11</v>
      </c>
    </row>
    <row r="575" spans="1:22" x14ac:dyDescent="0.35">
      <c r="A575" t="s">
        <v>578</v>
      </c>
      <c r="F575">
        <v>16.86</v>
      </c>
      <c r="M575" s="1">
        <v>0.52</v>
      </c>
      <c r="N575" s="1">
        <v>1.45</v>
      </c>
      <c r="O575" s="1">
        <v>8.65</v>
      </c>
    </row>
  </sheetData>
  <sortState xmlns:xlrd2="http://schemas.microsoft.com/office/spreadsheetml/2017/richdata2" ref="A2:T564">
    <sortCondition ref="T1:T564"/>
  </sortState>
  <conditionalFormatting sqref="M2:M564">
    <cfRule type="cellIs" dxfId="5" priority="3" operator="lessThan">
      <formula>$M$570</formula>
    </cfRule>
    <cfRule type="cellIs" dxfId="4" priority="6" operator="greaterThan">
      <formula>$M$571</formula>
    </cfRule>
  </conditionalFormatting>
  <conditionalFormatting sqref="N2:N564">
    <cfRule type="cellIs" dxfId="3" priority="2" operator="lessThan">
      <formula>$N$570</formula>
    </cfRule>
    <cfRule type="cellIs" dxfId="2" priority="5" operator="greaterThan">
      <formula>$N$571</formula>
    </cfRule>
  </conditionalFormatting>
  <conditionalFormatting sqref="O2:O564">
    <cfRule type="cellIs" dxfId="1" priority="1" operator="lessThan">
      <formula>$O$570</formula>
    </cfRule>
    <cfRule type="cellIs" dxfId="0" priority="4" operator="greaterThan">
      <formula>$O$571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 Swift 5</cp:lastModifiedBy>
  <dcterms:created xsi:type="dcterms:W3CDTF">2025-09-13T09:15:28Z</dcterms:created>
  <dcterms:modified xsi:type="dcterms:W3CDTF">2025-09-14T01:06:05Z</dcterms:modified>
</cp:coreProperties>
</file>